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9020" windowHeight="11760"/>
  </bookViews>
  <sheets>
    <sheet name="Options" sheetId="7" r:id="rId1"/>
    <sheet name="wms_day" sheetId="1" r:id="rId2"/>
    <sheet name="Staffing Sheet" sheetId="2" r:id="rId3"/>
    <sheet name="Salary" sheetId="5" r:id="rId4"/>
    <sheet name="Leave" sheetId="3" r:id="rId5"/>
    <sheet name="carton_adjustments" sheetId="6" r:id="rId6"/>
  </sheets>
  <definedNames>
    <definedName name="_xlnm._FilterDatabase" localSheetId="2" hidden="1">'Staffing Sheet'!$A$1:$T$1</definedName>
    <definedName name="_xlnm._FilterDatabase" localSheetId="1" hidden="1">wms_day!$A$1:$BD$13001</definedName>
  </definedNames>
  <calcPr calcId="125725"/>
</workbook>
</file>

<file path=xl/calcChain.xml><?xml version="1.0" encoding="utf-8"?>
<calcChain xmlns="http://schemas.openxmlformats.org/spreadsheetml/2006/main">
  <c r="N1646" i="2"/>
  <c r="M1646"/>
  <c r="L1646"/>
  <c r="N1645"/>
  <c r="M1645"/>
  <c r="L1645"/>
  <c r="N1644"/>
  <c r="M1644"/>
  <c r="L1644"/>
  <c r="N1643"/>
  <c r="M1643"/>
  <c r="L1643"/>
  <c r="N1642"/>
  <c r="M1642"/>
  <c r="L1642"/>
  <c r="N1641"/>
  <c r="M1641"/>
  <c r="L1641"/>
  <c r="N1640"/>
  <c r="M1640"/>
  <c r="L1640"/>
  <c r="N1639"/>
  <c r="M1639"/>
  <c r="L1639"/>
  <c r="N1638"/>
  <c r="M1638"/>
  <c r="L1638"/>
  <c r="N1637"/>
  <c r="M1637"/>
  <c r="L1637"/>
  <c r="N1636"/>
  <c r="M1636"/>
  <c r="L1636"/>
  <c r="N1635"/>
  <c r="M1635"/>
  <c r="L1635"/>
  <c r="N1634"/>
  <c r="M1634"/>
  <c r="L1634"/>
  <c r="N1633"/>
  <c r="M1633"/>
  <c r="L1633"/>
  <c r="N1632"/>
  <c r="M1632"/>
  <c r="L1632"/>
  <c r="N1631"/>
  <c r="M1631"/>
  <c r="L1631"/>
  <c r="N1630"/>
  <c r="M1630"/>
  <c r="L1630"/>
  <c r="N1629"/>
  <c r="M1629"/>
  <c r="L1629"/>
  <c r="N1628"/>
  <c r="M1628"/>
  <c r="L1628"/>
  <c r="N1627"/>
  <c r="M1627"/>
  <c r="L1627"/>
  <c r="N1626"/>
  <c r="M1626"/>
  <c r="L1626"/>
  <c r="N1625"/>
  <c r="M1625"/>
  <c r="L1625"/>
  <c r="N1624"/>
  <c r="M1624"/>
  <c r="L1624"/>
  <c r="N1623"/>
  <c r="M1623"/>
  <c r="L1623"/>
  <c r="N1622"/>
  <c r="M1622"/>
  <c r="L1622"/>
  <c r="N1621"/>
  <c r="M1621"/>
  <c r="L1621"/>
  <c r="N1620"/>
  <c r="M1620"/>
  <c r="L1620"/>
  <c r="N1619"/>
  <c r="M1619"/>
  <c r="L1619"/>
  <c r="N1618"/>
  <c r="M1618"/>
  <c r="L1618"/>
  <c r="N1617"/>
  <c r="M1617"/>
  <c r="L1617"/>
  <c r="N1616"/>
  <c r="M1616"/>
  <c r="L1616"/>
  <c r="N1615"/>
  <c r="M1615"/>
  <c r="L1615"/>
  <c r="N1614"/>
  <c r="M1614"/>
  <c r="L1614"/>
  <c r="N1613"/>
  <c r="M1613"/>
  <c r="L1613"/>
  <c r="N1612"/>
  <c r="M1612"/>
  <c r="L1612"/>
  <c r="N1611"/>
  <c r="M1611"/>
  <c r="L1611"/>
  <c r="N1610"/>
  <c r="M1610"/>
  <c r="L1610"/>
  <c r="N1609"/>
  <c r="M1609"/>
  <c r="L1609"/>
  <c r="N1608"/>
  <c r="M1608"/>
  <c r="L1608"/>
  <c r="N1607"/>
  <c r="M1607"/>
  <c r="L1607"/>
  <c r="N1606"/>
  <c r="M1606"/>
  <c r="L1606"/>
  <c r="N1605"/>
  <c r="M1605"/>
  <c r="L1605"/>
  <c r="N1604"/>
  <c r="M1604"/>
  <c r="L1604"/>
  <c r="N1603"/>
  <c r="M1603"/>
  <c r="L1603"/>
  <c r="N1602"/>
  <c r="M1602"/>
  <c r="L1602"/>
  <c r="N1601"/>
  <c r="M1601"/>
  <c r="L1601"/>
  <c r="N1600"/>
  <c r="M1600"/>
  <c r="L1600"/>
  <c r="N1599"/>
  <c r="M1599"/>
  <c r="L1599"/>
  <c r="N1598"/>
  <c r="M1598"/>
  <c r="L1598"/>
  <c r="N1597"/>
  <c r="M1597"/>
  <c r="L1597"/>
  <c r="N1596"/>
  <c r="M1596"/>
  <c r="L1596"/>
  <c r="N1595"/>
  <c r="M1595"/>
  <c r="L1595"/>
  <c r="N1594"/>
  <c r="M1594"/>
  <c r="L1594"/>
  <c r="N1593"/>
  <c r="M1593"/>
  <c r="L1593"/>
  <c r="N1592"/>
  <c r="M1592"/>
  <c r="L1592"/>
  <c r="N1591"/>
  <c r="M1591"/>
  <c r="L1591"/>
  <c r="N1590"/>
  <c r="M1590"/>
  <c r="L1590"/>
  <c r="N1589"/>
  <c r="M1589"/>
  <c r="L1589"/>
  <c r="N1588"/>
  <c r="M1588"/>
  <c r="L1588"/>
  <c r="N1587"/>
  <c r="M1587"/>
  <c r="L1587"/>
  <c r="N1586"/>
  <c r="M1586"/>
  <c r="L1586"/>
  <c r="N1585"/>
  <c r="M1585"/>
  <c r="L1585"/>
  <c r="N1584"/>
  <c r="M1584"/>
  <c r="L1584"/>
  <c r="N1583"/>
  <c r="M1583"/>
  <c r="L1583"/>
  <c r="N1582"/>
  <c r="M1582"/>
  <c r="L1582"/>
  <c r="N1581"/>
  <c r="M1581"/>
  <c r="L1581"/>
  <c r="N1580"/>
  <c r="M1580"/>
  <c r="L1580"/>
  <c r="N1579"/>
  <c r="M1579"/>
  <c r="L1579"/>
  <c r="N1578"/>
  <c r="M1578"/>
  <c r="L1578"/>
  <c r="N1577"/>
  <c r="M1577"/>
  <c r="L1577"/>
  <c r="N1576"/>
  <c r="M1576"/>
  <c r="L1576"/>
  <c r="N1575"/>
  <c r="M1575"/>
  <c r="L1575"/>
  <c r="N1574"/>
  <c r="M1574"/>
  <c r="L1574"/>
  <c r="N1573"/>
  <c r="M1573"/>
  <c r="L1573"/>
  <c r="N1572"/>
  <c r="M1572"/>
  <c r="L1572"/>
  <c r="N1571"/>
  <c r="M1571"/>
  <c r="L1571"/>
  <c r="N1570"/>
  <c r="M1570"/>
  <c r="L1570"/>
  <c r="N1569"/>
  <c r="M1569"/>
  <c r="L1569"/>
  <c r="N1568"/>
  <c r="M1568"/>
  <c r="L1568"/>
  <c r="N1567"/>
  <c r="M1567"/>
  <c r="L1567"/>
  <c r="N1566"/>
  <c r="M1566"/>
  <c r="L1566"/>
  <c r="N1565"/>
  <c r="M1565"/>
  <c r="L1565"/>
  <c r="N1564"/>
  <c r="M1564"/>
  <c r="L1564"/>
  <c r="N1563"/>
  <c r="M1563"/>
  <c r="L1563"/>
  <c r="N1562"/>
  <c r="M1562"/>
  <c r="L1562"/>
  <c r="N1561"/>
  <c r="M1561"/>
  <c r="L1561"/>
  <c r="N1560"/>
  <c r="M1560"/>
  <c r="L1560"/>
  <c r="N1559"/>
  <c r="M1559"/>
  <c r="L1559"/>
  <c r="N1558"/>
  <c r="M1558"/>
  <c r="L1558"/>
  <c r="N1557"/>
  <c r="M1557"/>
  <c r="L1557"/>
  <c r="N1556"/>
  <c r="M1556"/>
  <c r="L1556"/>
  <c r="N1555"/>
  <c r="M1555"/>
  <c r="L1555"/>
  <c r="N1554"/>
  <c r="M1554"/>
  <c r="L1554"/>
  <c r="N1553"/>
  <c r="M1553"/>
  <c r="L1553"/>
  <c r="N1552"/>
  <c r="M1552"/>
  <c r="L1552"/>
  <c r="N1551"/>
  <c r="M1551"/>
  <c r="L1551"/>
  <c r="N1550"/>
  <c r="M1550"/>
  <c r="L1550"/>
  <c r="N1549"/>
  <c r="M1549"/>
  <c r="L1549"/>
  <c r="N1548"/>
  <c r="M1548"/>
  <c r="L1548"/>
  <c r="N1547"/>
  <c r="M1547"/>
  <c r="L1547"/>
  <c r="N1546"/>
  <c r="M1546"/>
  <c r="L1546"/>
  <c r="N1545"/>
  <c r="M1545"/>
  <c r="L1545"/>
  <c r="N1544"/>
  <c r="M1544"/>
  <c r="L1544"/>
  <c r="N1543"/>
  <c r="M1543"/>
  <c r="L1543"/>
  <c r="N1542"/>
  <c r="M1542"/>
  <c r="L1542"/>
  <c r="N1541"/>
  <c r="M1541"/>
  <c r="L1541"/>
  <c r="N1540"/>
  <c r="M1540"/>
  <c r="L1540"/>
  <c r="N1539"/>
  <c r="M1539"/>
  <c r="L1539"/>
  <c r="N1538"/>
  <c r="M1538"/>
  <c r="L1538"/>
  <c r="N1537"/>
  <c r="M1537"/>
  <c r="L1537"/>
  <c r="N1536"/>
  <c r="M1536"/>
  <c r="L1536"/>
  <c r="N1535"/>
  <c r="M1535"/>
  <c r="L1535"/>
  <c r="N1534"/>
  <c r="M1534"/>
  <c r="L1534"/>
  <c r="N1533"/>
  <c r="M1533"/>
  <c r="L1533"/>
  <c r="N1532"/>
  <c r="M1532"/>
  <c r="L1532"/>
  <c r="N1531"/>
  <c r="M1531"/>
  <c r="L1531"/>
  <c r="N1530"/>
  <c r="M1530"/>
  <c r="L1530"/>
  <c r="N1529"/>
  <c r="M1529"/>
  <c r="L1529"/>
  <c r="N1528"/>
  <c r="M1528"/>
  <c r="L1528"/>
  <c r="N1527"/>
  <c r="M1527"/>
  <c r="L1527"/>
  <c r="N1526"/>
  <c r="M1526"/>
  <c r="L1526"/>
  <c r="N1525"/>
  <c r="M1525"/>
  <c r="L1525"/>
  <c r="N1524"/>
  <c r="M1524"/>
  <c r="L1524"/>
  <c r="N1523"/>
  <c r="M1523"/>
  <c r="L1523"/>
  <c r="N1522"/>
  <c r="M1522"/>
  <c r="L1522"/>
  <c r="N1521"/>
  <c r="M1521"/>
  <c r="L1521"/>
  <c r="N1520"/>
  <c r="M1520"/>
  <c r="L1520"/>
  <c r="N1519"/>
  <c r="M1519"/>
  <c r="L1519"/>
  <c r="N1518"/>
  <c r="M1518"/>
  <c r="L1518"/>
  <c r="N1517"/>
  <c r="M1517"/>
  <c r="L1517"/>
  <c r="N1516"/>
  <c r="M1516"/>
  <c r="L1516"/>
  <c r="N1515"/>
  <c r="M1515"/>
  <c r="L1515"/>
  <c r="N1514"/>
  <c r="M1514"/>
  <c r="L1514"/>
  <c r="N1513"/>
  <c r="M1513"/>
  <c r="L1513"/>
  <c r="N1512"/>
  <c r="M1512"/>
  <c r="L1512"/>
  <c r="N1511"/>
  <c r="M1511"/>
  <c r="L1511"/>
  <c r="N1510"/>
  <c r="M1510"/>
  <c r="L1510"/>
  <c r="N1509"/>
  <c r="M1509"/>
  <c r="L1509"/>
  <c r="N1508"/>
  <c r="M1508"/>
  <c r="L1508"/>
  <c r="N1507"/>
  <c r="M1507"/>
  <c r="L1507"/>
  <c r="N1506"/>
  <c r="M1506"/>
  <c r="L1506"/>
  <c r="N1505"/>
  <c r="M1505"/>
  <c r="L1505"/>
  <c r="N1504"/>
  <c r="M1504"/>
  <c r="L1504"/>
  <c r="N1503"/>
  <c r="M1503"/>
  <c r="L1503"/>
  <c r="N1502"/>
  <c r="M1502"/>
  <c r="L1502"/>
  <c r="N1501"/>
  <c r="M1501"/>
  <c r="L1501"/>
  <c r="N1500"/>
  <c r="M1500"/>
  <c r="L1500"/>
  <c r="N1499"/>
  <c r="M1499"/>
  <c r="L1499"/>
  <c r="N1498"/>
  <c r="M1498"/>
  <c r="L1498"/>
  <c r="N1497"/>
  <c r="M1497"/>
  <c r="L1497"/>
  <c r="N1496"/>
  <c r="M1496"/>
  <c r="L1496"/>
  <c r="N1495"/>
  <c r="M1495"/>
  <c r="L1495"/>
  <c r="N1494"/>
  <c r="M1494"/>
  <c r="L1494"/>
  <c r="N1493"/>
  <c r="M1493"/>
  <c r="L1493"/>
  <c r="N1492"/>
  <c r="M1492"/>
  <c r="L1492"/>
  <c r="N1491"/>
  <c r="M1491"/>
  <c r="L1491"/>
  <c r="N1490"/>
  <c r="M1490"/>
  <c r="L1490"/>
  <c r="N1489"/>
  <c r="M1489"/>
  <c r="L1489"/>
  <c r="N1488"/>
  <c r="M1488"/>
  <c r="L1488"/>
  <c r="N1487"/>
  <c r="M1487"/>
  <c r="L1487"/>
  <c r="N1486"/>
  <c r="M1486"/>
  <c r="L1486"/>
  <c r="N1485"/>
  <c r="M1485"/>
  <c r="L1485"/>
  <c r="N1484"/>
  <c r="M1484"/>
  <c r="L1484"/>
  <c r="N1483"/>
  <c r="M1483"/>
  <c r="L1483"/>
  <c r="N1482"/>
  <c r="M1482"/>
  <c r="L1482"/>
  <c r="N1481"/>
  <c r="M1481"/>
  <c r="L1481"/>
  <c r="N1480"/>
  <c r="M1480"/>
  <c r="L1480"/>
  <c r="N1479"/>
  <c r="M1479"/>
  <c r="L1479"/>
  <c r="N1478"/>
  <c r="M1478"/>
  <c r="L1478"/>
  <c r="N1477"/>
  <c r="M1477"/>
  <c r="L1477"/>
  <c r="N1476"/>
  <c r="M1476"/>
  <c r="L1476"/>
  <c r="N1475"/>
  <c r="M1475"/>
  <c r="L1475"/>
  <c r="N1474"/>
  <c r="M1474"/>
  <c r="L1474"/>
  <c r="N1473"/>
  <c r="M1473"/>
  <c r="L1473"/>
  <c r="N1472"/>
  <c r="M1472"/>
  <c r="L1472"/>
  <c r="N1471"/>
  <c r="M1471"/>
  <c r="L1471"/>
  <c r="N1470"/>
  <c r="M1470"/>
  <c r="L1470"/>
  <c r="N1469"/>
  <c r="M1469"/>
  <c r="L1469"/>
  <c r="N1468"/>
  <c r="M1468"/>
  <c r="L1468"/>
  <c r="N1467"/>
  <c r="M1467"/>
  <c r="L1467"/>
  <c r="N1466"/>
  <c r="M1466"/>
  <c r="L1466"/>
  <c r="N1465"/>
  <c r="M1465"/>
  <c r="L1465"/>
  <c r="N1464"/>
  <c r="M1464"/>
  <c r="L1464"/>
  <c r="N1463"/>
  <c r="M1463"/>
  <c r="L1463"/>
  <c r="N1462"/>
  <c r="M1462"/>
  <c r="L1462"/>
  <c r="N1461"/>
  <c r="M1461"/>
  <c r="L1461"/>
  <c r="N1460"/>
  <c r="M1460"/>
  <c r="L1460"/>
  <c r="N1459"/>
  <c r="M1459"/>
  <c r="L1459"/>
  <c r="N1458"/>
  <c r="M1458"/>
  <c r="L1458"/>
  <c r="N1457"/>
  <c r="M1457"/>
  <c r="L1457"/>
  <c r="N1456"/>
  <c r="M1456"/>
  <c r="L1456"/>
  <c r="N1455"/>
  <c r="M1455"/>
  <c r="L1455"/>
  <c r="N1454"/>
  <c r="M1454"/>
  <c r="L1454"/>
  <c r="N1453"/>
  <c r="M1453"/>
  <c r="L1453"/>
  <c r="N1452"/>
  <c r="M1452"/>
  <c r="L1452"/>
  <c r="N1451"/>
  <c r="M1451"/>
  <c r="L1451"/>
  <c r="N1450"/>
  <c r="M1450"/>
  <c r="L1450"/>
  <c r="N1449"/>
  <c r="M1449"/>
  <c r="L1449"/>
  <c r="N1448"/>
  <c r="M1448"/>
  <c r="L1448"/>
  <c r="N1447"/>
  <c r="M1447"/>
  <c r="L1447"/>
  <c r="N1446"/>
  <c r="M1446"/>
  <c r="L1446"/>
  <c r="N1445"/>
  <c r="M1445"/>
  <c r="L1445"/>
  <c r="N1444"/>
  <c r="M1444"/>
  <c r="L1444"/>
  <c r="N1443"/>
  <c r="M1443"/>
  <c r="L1443"/>
  <c r="N1442"/>
  <c r="M1442"/>
  <c r="L1442"/>
  <c r="N1441"/>
  <c r="M1441"/>
  <c r="L1441"/>
  <c r="N1440"/>
  <c r="M1440"/>
  <c r="L1440"/>
  <c r="N1439"/>
  <c r="M1439"/>
  <c r="L1439"/>
  <c r="N1438"/>
  <c r="M1438"/>
  <c r="L1438"/>
  <c r="N1437"/>
  <c r="M1437"/>
  <c r="L1437"/>
  <c r="N1436"/>
  <c r="M1436"/>
  <c r="L1436"/>
  <c r="N1435"/>
  <c r="M1435"/>
  <c r="L1435"/>
  <c r="N1434"/>
  <c r="M1434"/>
  <c r="L1434"/>
  <c r="N1433"/>
  <c r="M1433"/>
  <c r="L1433"/>
  <c r="N1432"/>
  <c r="M1432"/>
  <c r="L1432"/>
  <c r="N1431"/>
  <c r="M1431"/>
  <c r="L1431"/>
  <c r="N1430"/>
  <c r="M1430"/>
  <c r="L1430"/>
  <c r="N1429"/>
  <c r="M1429"/>
  <c r="L1429"/>
  <c r="N1428"/>
  <c r="M1428"/>
  <c r="L1428"/>
  <c r="N1427"/>
  <c r="M1427"/>
  <c r="L1427"/>
  <c r="N1426"/>
  <c r="M1426"/>
  <c r="L1426"/>
  <c r="N1425"/>
  <c r="M1425"/>
  <c r="L1425"/>
  <c r="N1424"/>
  <c r="M1424"/>
  <c r="L1424"/>
  <c r="N1423"/>
  <c r="M1423"/>
  <c r="L1423"/>
  <c r="N1422"/>
  <c r="M1422"/>
  <c r="L1422"/>
  <c r="N1421"/>
  <c r="M1421"/>
  <c r="L1421"/>
  <c r="N1420"/>
  <c r="M1420"/>
  <c r="L1420"/>
  <c r="N1419"/>
  <c r="M1419"/>
  <c r="L1419"/>
  <c r="N1418"/>
  <c r="M1418"/>
  <c r="L1418"/>
  <c r="N1417"/>
  <c r="M1417"/>
  <c r="L1417"/>
  <c r="N1416"/>
  <c r="M1416"/>
  <c r="L1416"/>
  <c r="N1415"/>
  <c r="M1415"/>
  <c r="L1415"/>
  <c r="N1414"/>
  <c r="M1414"/>
  <c r="L1414"/>
  <c r="N1413"/>
  <c r="M1413"/>
  <c r="L1413"/>
  <c r="N1412"/>
  <c r="M1412"/>
  <c r="L1412"/>
  <c r="N1411"/>
  <c r="M1411"/>
  <c r="L1411"/>
  <c r="N1410"/>
  <c r="M1410"/>
  <c r="L1410"/>
  <c r="N1409"/>
  <c r="M1409"/>
  <c r="L1409"/>
  <c r="N1408"/>
  <c r="M1408"/>
  <c r="L1408"/>
  <c r="N1407"/>
  <c r="M1407"/>
  <c r="L1407"/>
  <c r="N1406"/>
  <c r="M1406"/>
  <c r="L1406"/>
  <c r="N1405"/>
  <c r="M1405"/>
  <c r="L1405"/>
  <c r="N1404"/>
  <c r="M1404"/>
  <c r="L1404"/>
  <c r="N1403"/>
  <c r="M1403"/>
  <c r="L1403"/>
  <c r="N1402"/>
  <c r="M1402"/>
  <c r="L1402"/>
  <c r="N1401"/>
  <c r="M1401"/>
  <c r="L1401"/>
  <c r="N1400"/>
  <c r="M1400"/>
  <c r="L1400"/>
  <c r="N1399"/>
  <c r="M1399"/>
  <c r="L1399"/>
  <c r="N1398"/>
  <c r="M1398"/>
  <c r="L1398"/>
  <c r="N1397"/>
  <c r="M1397"/>
  <c r="L1397"/>
  <c r="N1396"/>
  <c r="M1396"/>
  <c r="L1396"/>
  <c r="N1395"/>
  <c r="M1395"/>
  <c r="L1395"/>
  <c r="N1394"/>
  <c r="M1394"/>
  <c r="L1394"/>
  <c r="N1393"/>
  <c r="M1393"/>
  <c r="L1393"/>
  <c r="N1392"/>
  <c r="M1392"/>
  <c r="L1392"/>
  <c r="N1391"/>
  <c r="M1391"/>
  <c r="L1391"/>
  <c r="N1390"/>
  <c r="M1390"/>
  <c r="L1390"/>
  <c r="N1389"/>
  <c r="M1389"/>
  <c r="L1389"/>
  <c r="N1388"/>
  <c r="M1388"/>
  <c r="L1388"/>
  <c r="N1387"/>
  <c r="M1387"/>
  <c r="L1387"/>
  <c r="N1386"/>
  <c r="M1386"/>
  <c r="L1386"/>
  <c r="N1385"/>
  <c r="M1385"/>
  <c r="L1385"/>
  <c r="N1384"/>
  <c r="M1384"/>
  <c r="L1384"/>
  <c r="N1383"/>
  <c r="M1383"/>
  <c r="L1383"/>
  <c r="N1382"/>
  <c r="M1382"/>
  <c r="L1382"/>
  <c r="N1381"/>
  <c r="M1381"/>
  <c r="L1381"/>
  <c r="N1380"/>
  <c r="M1380"/>
  <c r="L1380"/>
  <c r="N1379"/>
  <c r="M1379"/>
  <c r="L1379"/>
  <c r="N1378"/>
  <c r="M1378"/>
  <c r="L1378"/>
  <c r="N1377"/>
  <c r="M1377"/>
  <c r="L1377"/>
  <c r="N1376"/>
  <c r="M1376"/>
  <c r="L1376"/>
  <c r="N1375"/>
  <c r="M1375"/>
  <c r="L1375"/>
  <c r="N1374"/>
  <c r="M1374"/>
  <c r="L1374"/>
  <c r="N1373"/>
  <c r="M1373"/>
  <c r="L1373"/>
  <c r="N1372"/>
  <c r="M1372"/>
  <c r="L1372"/>
  <c r="N1371"/>
  <c r="M1371"/>
  <c r="L1371"/>
  <c r="N1370"/>
  <c r="M1370"/>
  <c r="L1370"/>
  <c r="N1369"/>
  <c r="M1369"/>
  <c r="L1369"/>
  <c r="N1368"/>
  <c r="M1368"/>
  <c r="L1368"/>
  <c r="N1367"/>
  <c r="M1367"/>
  <c r="L1367"/>
  <c r="N1366"/>
  <c r="M1366"/>
  <c r="L1366"/>
  <c r="N1365"/>
  <c r="M1365"/>
  <c r="L1365"/>
  <c r="N1364"/>
  <c r="M1364"/>
  <c r="L1364"/>
  <c r="N1363"/>
  <c r="M1363"/>
  <c r="L1363"/>
  <c r="N1362"/>
  <c r="M1362"/>
  <c r="L1362"/>
  <c r="N1361"/>
  <c r="M1361"/>
  <c r="L1361"/>
  <c r="N1360"/>
  <c r="M1360"/>
  <c r="L1360"/>
  <c r="N1359"/>
  <c r="M1359"/>
  <c r="L1359"/>
  <c r="N1358"/>
  <c r="M1358"/>
  <c r="L1358"/>
  <c r="N1357"/>
  <c r="M1357"/>
  <c r="L1357"/>
  <c r="N1356"/>
  <c r="M1356"/>
  <c r="L1356"/>
  <c r="N1355"/>
  <c r="M1355"/>
  <c r="L1355"/>
  <c r="N1354"/>
  <c r="M1354"/>
  <c r="L1354"/>
  <c r="N1353"/>
  <c r="M1353"/>
  <c r="L1353"/>
  <c r="N1352"/>
  <c r="M1352"/>
  <c r="L1352"/>
  <c r="N1351"/>
  <c r="M1351"/>
  <c r="L1351"/>
  <c r="N1350"/>
  <c r="M1350"/>
  <c r="L1350"/>
  <c r="N1349"/>
  <c r="M1349"/>
  <c r="L1349"/>
  <c r="N1348"/>
  <c r="M1348"/>
  <c r="L1348"/>
  <c r="N1347"/>
  <c r="M1347"/>
  <c r="L1347"/>
  <c r="N1346"/>
  <c r="M1346"/>
  <c r="L1346"/>
  <c r="N1345"/>
  <c r="M1345"/>
  <c r="L1345"/>
  <c r="N1344"/>
  <c r="M1344"/>
  <c r="L1344"/>
  <c r="N1343"/>
  <c r="M1343"/>
  <c r="L1343"/>
  <c r="N1342"/>
  <c r="M1342"/>
  <c r="L1342"/>
  <c r="N1341"/>
  <c r="M1341"/>
  <c r="L1341"/>
  <c r="N1340"/>
  <c r="M1340"/>
  <c r="L1340"/>
  <c r="N1339"/>
  <c r="M1339"/>
  <c r="L1339"/>
  <c r="N1338"/>
  <c r="M1338"/>
  <c r="L1338"/>
  <c r="N1337"/>
  <c r="M1337"/>
  <c r="L1337"/>
  <c r="N1336"/>
  <c r="M1336"/>
  <c r="L1336"/>
  <c r="N1335"/>
  <c r="M1335"/>
  <c r="L1335"/>
  <c r="N1334"/>
  <c r="M1334"/>
  <c r="L1334"/>
  <c r="N1333"/>
  <c r="M1333"/>
  <c r="L1333"/>
  <c r="N1332"/>
  <c r="M1332"/>
  <c r="L1332"/>
  <c r="N1331"/>
  <c r="M1331"/>
  <c r="L1331"/>
  <c r="N1330"/>
  <c r="M1330"/>
  <c r="L1330"/>
  <c r="N1329"/>
  <c r="M1329"/>
  <c r="L1329"/>
  <c r="N1328"/>
  <c r="M1328"/>
  <c r="L1328"/>
  <c r="N1327"/>
  <c r="M1327"/>
  <c r="L1327"/>
  <c r="N1326"/>
  <c r="M1326"/>
  <c r="L1326"/>
  <c r="N1325"/>
  <c r="M1325"/>
  <c r="L1325"/>
  <c r="N1324"/>
  <c r="M1324"/>
  <c r="L1324"/>
  <c r="N1323"/>
  <c r="M1323"/>
  <c r="L1323"/>
  <c r="N1322"/>
  <c r="M1322"/>
  <c r="L1322"/>
  <c r="N1321"/>
  <c r="M1321"/>
  <c r="L1321"/>
  <c r="N1320"/>
  <c r="M1320"/>
  <c r="L1320"/>
  <c r="N1319"/>
  <c r="M1319"/>
  <c r="L1319"/>
  <c r="N1318"/>
  <c r="M1318"/>
  <c r="L1318"/>
  <c r="N1317"/>
  <c r="M1317"/>
  <c r="L1317"/>
  <c r="N1316"/>
  <c r="M1316"/>
  <c r="L1316"/>
  <c r="N1315"/>
  <c r="M1315"/>
  <c r="L1315"/>
  <c r="N1314"/>
  <c r="M1314"/>
  <c r="L1314"/>
  <c r="N1313"/>
  <c r="M1313"/>
  <c r="L1313"/>
  <c r="N1312"/>
  <c r="M1312"/>
  <c r="L1312"/>
  <c r="N1311"/>
  <c r="M1311"/>
  <c r="L1311"/>
  <c r="N1310"/>
  <c r="M1310"/>
  <c r="L1310"/>
  <c r="N1309"/>
  <c r="M1309"/>
  <c r="L1309"/>
  <c r="N1308"/>
  <c r="M1308"/>
  <c r="L1308"/>
  <c r="N1307"/>
  <c r="M1307"/>
  <c r="L1307"/>
  <c r="N1306"/>
  <c r="M1306"/>
  <c r="L1306"/>
  <c r="N1305"/>
  <c r="M1305"/>
  <c r="L1305"/>
  <c r="N1304"/>
  <c r="M1304"/>
  <c r="L1304"/>
  <c r="N1303"/>
  <c r="M1303"/>
  <c r="L1303"/>
  <c r="N1302"/>
  <c r="M1302"/>
  <c r="L1302"/>
  <c r="N1301"/>
  <c r="M1301"/>
  <c r="L1301"/>
  <c r="N1300"/>
  <c r="M1300"/>
  <c r="L1300"/>
  <c r="N1299"/>
  <c r="M1299"/>
  <c r="L1299"/>
  <c r="N1298"/>
  <c r="M1298"/>
  <c r="L1298"/>
  <c r="N1297"/>
  <c r="M1297"/>
  <c r="L1297"/>
  <c r="N1296"/>
  <c r="M1296"/>
  <c r="L1296"/>
  <c r="N1295"/>
  <c r="M1295"/>
  <c r="L1295"/>
  <c r="N1294"/>
  <c r="M1294"/>
  <c r="L1294"/>
  <c r="N1293"/>
  <c r="M1293"/>
  <c r="L1293"/>
  <c r="N1292"/>
  <c r="M1292"/>
  <c r="L1292"/>
  <c r="N1291"/>
  <c r="M1291"/>
  <c r="L1291"/>
  <c r="N1290"/>
  <c r="M1290"/>
  <c r="L1290"/>
  <c r="N1289"/>
  <c r="M1289"/>
  <c r="L1289"/>
  <c r="N1288"/>
  <c r="M1288"/>
  <c r="L1288"/>
  <c r="N1287"/>
  <c r="M1287"/>
  <c r="L1287"/>
  <c r="N1286"/>
  <c r="M1286"/>
  <c r="L1286"/>
  <c r="N1285"/>
  <c r="M1285"/>
  <c r="L1285"/>
  <c r="N1284"/>
  <c r="M1284"/>
  <c r="L1284"/>
  <c r="N1283"/>
  <c r="M1283"/>
  <c r="L1283"/>
  <c r="N1282"/>
  <c r="M1282"/>
  <c r="L1282"/>
  <c r="N1281"/>
  <c r="M1281"/>
  <c r="L1281"/>
  <c r="N1280"/>
  <c r="M1280"/>
  <c r="L1280"/>
  <c r="N1279"/>
  <c r="M1279"/>
  <c r="L1279"/>
  <c r="N1278"/>
  <c r="M1278"/>
  <c r="L1278"/>
  <c r="N1277"/>
  <c r="M1277"/>
  <c r="L1277"/>
  <c r="N1276"/>
  <c r="M1276"/>
  <c r="L1276"/>
  <c r="N1275"/>
  <c r="M1275"/>
  <c r="L1275"/>
  <c r="N1274"/>
  <c r="M1274"/>
  <c r="L1274"/>
  <c r="N1273"/>
  <c r="M1273"/>
  <c r="L1273"/>
  <c r="N1272"/>
  <c r="M1272"/>
  <c r="L1272"/>
  <c r="N1271"/>
  <c r="M1271"/>
  <c r="L1271"/>
  <c r="N1270"/>
  <c r="M1270"/>
  <c r="L1270"/>
  <c r="N1269"/>
  <c r="M1269"/>
  <c r="L1269"/>
  <c r="N1268"/>
  <c r="M1268"/>
  <c r="L1268"/>
  <c r="N1267"/>
  <c r="M1267"/>
  <c r="L1267"/>
  <c r="N1266"/>
  <c r="M1266"/>
  <c r="L1266"/>
  <c r="N1265"/>
  <c r="M1265"/>
  <c r="L1265"/>
  <c r="N1264"/>
  <c r="M1264"/>
  <c r="L1264"/>
  <c r="N1263"/>
  <c r="M1263"/>
  <c r="L1263"/>
  <c r="N1262"/>
  <c r="M1262"/>
  <c r="L1262"/>
  <c r="N1261"/>
  <c r="M1261"/>
  <c r="L1261"/>
  <c r="N1260"/>
  <c r="M1260"/>
  <c r="L1260"/>
  <c r="N1259"/>
  <c r="M1259"/>
  <c r="L1259"/>
  <c r="N1258"/>
  <c r="M1258"/>
  <c r="L1258"/>
  <c r="N1257"/>
  <c r="M1257"/>
  <c r="L1257"/>
  <c r="N1256"/>
  <c r="M1256"/>
  <c r="L1256"/>
  <c r="N1255"/>
  <c r="M1255"/>
  <c r="L1255"/>
  <c r="N1254"/>
  <c r="M1254"/>
  <c r="L1254"/>
  <c r="N1253"/>
  <c r="M1253"/>
  <c r="L1253"/>
  <c r="N1252"/>
  <c r="M1252"/>
  <c r="L1252"/>
  <c r="N1251"/>
  <c r="M1251"/>
  <c r="L1251"/>
  <c r="N1250"/>
  <c r="M1250"/>
  <c r="L1250"/>
  <c r="N1249"/>
  <c r="M1249"/>
  <c r="L1249"/>
  <c r="N1248"/>
  <c r="M1248"/>
  <c r="L1248"/>
  <c r="N1247"/>
  <c r="M1247"/>
  <c r="L1247"/>
  <c r="N1246"/>
  <c r="M1246"/>
  <c r="L1246"/>
  <c r="N1245"/>
  <c r="M1245"/>
  <c r="L1245"/>
  <c r="N1244"/>
  <c r="M1244"/>
  <c r="L1244"/>
  <c r="N1243"/>
  <c r="M1243"/>
  <c r="L1243"/>
  <c r="N1242"/>
  <c r="M1242"/>
  <c r="L1242"/>
  <c r="N1241"/>
  <c r="M1241"/>
  <c r="L1241"/>
  <c r="N1240"/>
  <c r="M1240"/>
  <c r="L1240"/>
  <c r="N1239"/>
  <c r="M1239"/>
  <c r="L1239"/>
  <c r="N1238"/>
  <c r="M1238"/>
  <c r="L1238"/>
  <c r="N1237"/>
  <c r="M1237"/>
  <c r="L1237"/>
  <c r="N1236"/>
  <c r="M1236"/>
  <c r="L1236"/>
  <c r="N1235"/>
  <c r="M1235"/>
  <c r="L1235"/>
  <c r="N1234"/>
  <c r="M1234"/>
  <c r="L1234"/>
  <c r="N1233"/>
  <c r="M1233"/>
  <c r="L1233"/>
  <c r="N1232"/>
  <c r="M1232"/>
  <c r="L1232"/>
  <c r="N1231"/>
  <c r="M1231"/>
  <c r="L1231"/>
  <c r="N1230"/>
  <c r="M1230"/>
  <c r="L1230"/>
  <c r="N1229"/>
  <c r="M1229"/>
  <c r="L1229"/>
  <c r="N1228"/>
  <c r="M1228"/>
  <c r="L1228"/>
  <c r="N1227"/>
  <c r="M1227"/>
  <c r="L1227"/>
  <c r="N1226"/>
  <c r="M1226"/>
  <c r="L1226"/>
  <c r="N1225"/>
  <c r="M1225"/>
  <c r="L1225"/>
  <c r="N1224"/>
  <c r="M1224"/>
  <c r="L1224"/>
  <c r="N1223"/>
  <c r="M1223"/>
  <c r="L1223"/>
  <c r="N1222"/>
  <c r="M1222"/>
  <c r="L1222"/>
  <c r="N1221"/>
  <c r="M1221"/>
  <c r="L1221"/>
  <c r="N1220"/>
  <c r="M1220"/>
  <c r="L1220"/>
  <c r="N1219"/>
  <c r="M1219"/>
  <c r="L1219"/>
  <c r="N1218"/>
  <c r="M1218"/>
  <c r="L1218"/>
  <c r="N1217"/>
  <c r="M1217"/>
  <c r="L1217"/>
  <c r="N1216"/>
  <c r="M1216"/>
  <c r="L1216"/>
  <c r="N1215"/>
  <c r="M1215"/>
  <c r="L1215"/>
  <c r="N1214"/>
  <c r="M1214"/>
  <c r="L1214"/>
  <c r="N1213"/>
  <c r="M1213"/>
  <c r="L1213"/>
  <c r="N1212"/>
  <c r="M1212"/>
  <c r="L1212"/>
  <c r="N1211"/>
  <c r="M1211"/>
  <c r="L1211"/>
  <c r="N1210"/>
  <c r="M1210"/>
  <c r="L1210"/>
  <c r="N1209"/>
  <c r="M1209"/>
  <c r="L1209"/>
  <c r="N1208"/>
  <c r="M1208"/>
  <c r="L1208"/>
  <c r="N1207"/>
  <c r="M1207"/>
  <c r="L1207"/>
  <c r="N1206"/>
  <c r="M1206"/>
  <c r="L1206"/>
  <c r="N1205"/>
  <c r="M1205"/>
  <c r="L1205"/>
  <c r="N1204"/>
  <c r="M1204"/>
  <c r="L1204"/>
  <c r="N1203"/>
  <c r="M1203"/>
  <c r="L1203"/>
  <c r="N1202"/>
  <c r="M1202"/>
  <c r="L1202"/>
  <c r="N1201"/>
  <c r="M1201"/>
  <c r="L1201"/>
  <c r="N1200"/>
  <c r="M1200"/>
  <c r="L1200"/>
  <c r="N1199"/>
  <c r="M1199"/>
  <c r="L1199"/>
  <c r="N1198"/>
  <c r="M1198"/>
  <c r="L1198"/>
  <c r="N1197"/>
  <c r="M1197"/>
  <c r="L1197"/>
  <c r="N1196"/>
  <c r="M1196"/>
  <c r="L1196"/>
  <c r="N1195"/>
  <c r="M1195"/>
  <c r="L1195"/>
  <c r="N1194"/>
  <c r="M1194"/>
  <c r="L1194"/>
  <c r="N1193"/>
  <c r="M1193"/>
  <c r="L1193"/>
  <c r="N1192"/>
  <c r="M1192"/>
  <c r="L1192"/>
  <c r="N1191"/>
  <c r="M1191"/>
  <c r="L1191"/>
  <c r="N1190"/>
  <c r="M1190"/>
  <c r="L1190"/>
  <c r="N1189"/>
  <c r="M1189"/>
  <c r="L1189"/>
  <c r="N1188"/>
  <c r="M1188"/>
  <c r="L1188"/>
  <c r="N1187"/>
  <c r="M1187"/>
  <c r="L1187"/>
  <c r="N1186"/>
  <c r="M1186"/>
  <c r="L1186"/>
  <c r="N1185"/>
  <c r="M1185"/>
  <c r="L1185"/>
  <c r="N1184"/>
  <c r="M1184"/>
  <c r="L1184"/>
  <c r="N1183"/>
  <c r="M1183"/>
  <c r="L1183"/>
  <c r="N1182"/>
  <c r="M1182"/>
  <c r="L1182"/>
  <c r="N1181"/>
  <c r="M1181"/>
  <c r="L1181"/>
  <c r="N1180"/>
  <c r="M1180"/>
  <c r="L1180"/>
  <c r="N1179"/>
  <c r="M1179"/>
  <c r="L1179"/>
  <c r="N1178"/>
  <c r="M1178"/>
  <c r="L1178"/>
  <c r="N1177"/>
  <c r="M1177"/>
  <c r="L1177"/>
  <c r="N1176"/>
  <c r="M1176"/>
  <c r="L1176"/>
  <c r="N1175"/>
  <c r="M1175"/>
  <c r="L1175"/>
  <c r="N1174"/>
  <c r="M1174"/>
  <c r="L1174"/>
  <c r="N1173"/>
  <c r="M1173"/>
  <c r="L1173"/>
  <c r="N1172"/>
  <c r="M1172"/>
  <c r="L1172"/>
  <c r="N1171"/>
  <c r="M1171"/>
  <c r="L1171"/>
  <c r="N1170"/>
  <c r="M1170"/>
  <c r="L1170"/>
  <c r="N1169"/>
  <c r="M1169"/>
  <c r="L1169"/>
  <c r="N1168"/>
  <c r="M1168"/>
  <c r="L1168"/>
  <c r="N1167"/>
  <c r="M1167"/>
  <c r="L1167"/>
  <c r="N1166"/>
  <c r="M1166"/>
  <c r="L1166"/>
  <c r="N1165"/>
  <c r="M1165"/>
  <c r="L1165"/>
  <c r="N1164"/>
  <c r="M1164"/>
  <c r="L1164"/>
  <c r="N1163"/>
  <c r="M1163"/>
  <c r="L1163"/>
  <c r="N1162"/>
  <c r="M1162"/>
  <c r="L1162"/>
  <c r="N1161"/>
  <c r="M1161"/>
  <c r="L1161"/>
  <c r="N1160"/>
  <c r="M1160"/>
  <c r="L1160"/>
  <c r="N1159"/>
  <c r="M1159"/>
  <c r="L1159"/>
  <c r="N1158"/>
  <c r="M1158"/>
  <c r="L1158"/>
  <c r="N1157"/>
  <c r="M1157"/>
  <c r="L1157"/>
  <c r="N1156"/>
  <c r="M1156"/>
  <c r="L1156"/>
  <c r="N1155"/>
  <c r="M1155"/>
  <c r="L1155"/>
  <c r="N1154"/>
  <c r="M1154"/>
  <c r="L1154"/>
  <c r="N1153"/>
  <c r="M1153"/>
  <c r="L1153"/>
  <c r="N1152"/>
  <c r="M1152"/>
  <c r="L1152"/>
  <c r="N1151"/>
  <c r="M1151"/>
  <c r="L1151"/>
  <c r="N1150"/>
  <c r="M1150"/>
  <c r="L1150"/>
  <c r="N1149"/>
  <c r="M1149"/>
  <c r="L1149"/>
  <c r="N1148"/>
  <c r="M1148"/>
  <c r="L1148"/>
  <c r="N1147"/>
  <c r="M1147"/>
  <c r="L1147"/>
  <c r="N1146"/>
  <c r="M1146"/>
  <c r="L1146"/>
  <c r="N1145"/>
  <c r="M1145"/>
  <c r="L1145"/>
  <c r="N1144"/>
  <c r="M1144"/>
  <c r="L1144"/>
  <c r="N1143"/>
  <c r="M1143"/>
  <c r="L1143"/>
  <c r="N1142"/>
  <c r="M1142"/>
  <c r="L1142"/>
  <c r="N1141"/>
  <c r="M1141"/>
  <c r="L1141"/>
  <c r="N1140"/>
  <c r="M1140"/>
  <c r="L1140"/>
  <c r="N1139"/>
  <c r="M1139"/>
  <c r="L1139"/>
  <c r="N1138"/>
  <c r="M1138"/>
  <c r="L1138"/>
  <c r="N1137"/>
  <c r="M1137"/>
  <c r="L1137"/>
  <c r="N1136"/>
  <c r="M1136"/>
  <c r="L1136"/>
  <c r="N1135"/>
  <c r="M1135"/>
  <c r="L1135"/>
  <c r="N1134"/>
  <c r="M1134"/>
  <c r="L1134"/>
  <c r="N1133"/>
  <c r="M1133"/>
  <c r="L1133"/>
  <c r="N1132"/>
  <c r="M1132"/>
  <c r="L1132"/>
  <c r="N1131"/>
  <c r="M1131"/>
  <c r="L1131"/>
  <c r="N1130"/>
  <c r="M1130"/>
  <c r="L1130"/>
  <c r="N1129"/>
  <c r="M1129"/>
  <c r="L1129"/>
  <c r="N1128"/>
  <c r="M1128"/>
  <c r="L1128"/>
  <c r="N1127"/>
  <c r="M1127"/>
  <c r="L1127"/>
  <c r="N1126"/>
  <c r="M1126"/>
  <c r="L1126"/>
  <c r="N1125"/>
  <c r="M1125"/>
  <c r="L1125"/>
  <c r="N1124"/>
  <c r="M1124"/>
  <c r="L1124"/>
  <c r="N1123"/>
  <c r="M1123"/>
  <c r="L1123"/>
  <c r="N1122"/>
  <c r="M1122"/>
  <c r="L1122"/>
  <c r="N1121"/>
  <c r="M1121"/>
  <c r="L1121"/>
  <c r="N1120"/>
  <c r="M1120"/>
  <c r="L1120"/>
  <c r="N1119"/>
  <c r="M1119"/>
  <c r="L1119"/>
  <c r="N1118"/>
  <c r="M1118"/>
  <c r="L1118"/>
  <c r="N1117"/>
  <c r="M1117"/>
  <c r="L1117"/>
  <c r="N1116"/>
  <c r="M1116"/>
  <c r="L1116"/>
  <c r="N1115"/>
  <c r="M1115"/>
  <c r="L1115"/>
  <c r="N1114"/>
  <c r="M1114"/>
  <c r="L1114"/>
  <c r="N1113"/>
  <c r="M1113"/>
  <c r="L1113"/>
  <c r="N1112"/>
  <c r="M1112"/>
  <c r="L1112"/>
  <c r="N1111"/>
  <c r="M1111"/>
  <c r="L1111"/>
  <c r="N1110"/>
  <c r="M1110"/>
  <c r="L1110"/>
  <c r="N1109"/>
  <c r="M1109"/>
  <c r="L1109"/>
  <c r="N1108"/>
  <c r="M1108"/>
  <c r="L1108"/>
  <c r="N1107"/>
  <c r="M1107"/>
  <c r="L1107"/>
  <c r="N1106"/>
  <c r="M1106"/>
  <c r="L1106"/>
  <c r="N1105"/>
  <c r="M1105"/>
  <c r="L1105"/>
  <c r="N1104"/>
  <c r="M1104"/>
  <c r="L1104"/>
  <c r="N1103"/>
  <c r="M1103"/>
  <c r="L1103"/>
  <c r="N1102"/>
  <c r="M1102"/>
  <c r="L1102"/>
  <c r="N1101"/>
  <c r="M1101"/>
  <c r="L1101"/>
  <c r="N1100"/>
  <c r="M1100"/>
  <c r="L1100"/>
  <c r="N1099"/>
  <c r="M1099"/>
  <c r="L1099"/>
  <c r="N1098"/>
  <c r="M1098"/>
  <c r="L1098"/>
  <c r="N1097"/>
  <c r="M1097"/>
  <c r="L1097"/>
  <c r="N1096"/>
  <c r="M1096"/>
  <c r="L1096"/>
  <c r="N1095"/>
  <c r="M1095"/>
  <c r="L1095"/>
  <c r="N1094"/>
  <c r="M1094"/>
  <c r="L1094"/>
  <c r="N1093"/>
  <c r="M1093"/>
  <c r="L1093"/>
  <c r="N1092"/>
  <c r="M1092"/>
  <c r="L1092"/>
  <c r="N1091"/>
  <c r="M1091"/>
  <c r="L1091"/>
  <c r="N1090"/>
  <c r="M1090"/>
  <c r="L1090"/>
  <c r="N1089"/>
  <c r="M1089"/>
  <c r="L1089"/>
  <c r="N1088"/>
  <c r="M1088"/>
  <c r="L1088"/>
  <c r="N1087"/>
  <c r="M1087"/>
  <c r="L1087"/>
  <c r="N1086"/>
  <c r="M1086"/>
  <c r="L1086"/>
  <c r="N1085"/>
  <c r="M1085"/>
  <c r="L1085"/>
  <c r="N1084"/>
  <c r="M1084"/>
  <c r="L1084"/>
  <c r="N1083"/>
  <c r="M1083"/>
  <c r="L1083"/>
  <c r="N1082"/>
  <c r="M1082"/>
  <c r="L1082"/>
  <c r="N1081"/>
  <c r="M1081"/>
  <c r="L1081"/>
  <c r="N1080"/>
  <c r="M1080"/>
  <c r="L1080"/>
  <c r="N1079"/>
  <c r="M1079"/>
  <c r="L1079"/>
  <c r="N1078"/>
  <c r="M1078"/>
  <c r="L1078"/>
  <c r="N1077"/>
  <c r="M1077"/>
  <c r="L1077"/>
  <c r="N1076"/>
  <c r="M1076"/>
  <c r="L1076"/>
  <c r="N1075"/>
  <c r="M1075"/>
  <c r="L1075"/>
  <c r="N1074"/>
  <c r="M1074"/>
  <c r="L1074"/>
  <c r="N1073"/>
  <c r="M1073"/>
  <c r="L1073"/>
  <c r="N1072"/>
  <c r="M1072"/>
  <c r="L1072"/>
  <c r="N1071"/>
  <c r="M1071"/>
  <c r="L1071"/>
  <c r="N1070"/>
  <c r="M1070"/>
  <c r="L1070"/>
  <c r="N1069"/>
  <c r="M1069"/>
  <c r="L1069"/>
  <c r="N1068"/>
  <c r="M1068"/>
  <c r="L1068"/>
  <c r="N1067"/>
  <c r="M1067"/>
  <c r="L1067"/>
  <c r="N1066"/>
  <c r="M1066"/>
  <c r="L1066"/>
  <c r="N1065"/>
  <c r="M1065"/>
  <c r="L1065"/>
  <c r="N1064"/>
  <c r="M1064"/>
  <c r="L1064"/>
  <c r="N1063"/>
  <c r="M1063"/>
  <c r="L1063"/>
  <c r="N1062"/>
  <c r="M1062"/>
  <c r="L1062"/>
  <c r="N1061"/>
  <c r="M1061"/>
  <c r="L1061"/>
  <c r="N1060"/>
  <c r="M1060"/>
  <c r="L1060"/>
  <c r="N1059"/>
  <c r="M1059"/>
  <c r="L1059"/>
  <c r="N1058"/>
  <c r="M1058"/>
  <c r="L1058"/>
  <c r="N1057"/>
  <c r="M1057"/>
  <c r="L1057"/>
  <c r="N1056"/>
  <c r="M1056"/>
  <c r="L1056"/>
  <c r="N1055"/>
  <c r="M1055"/>
  <c r="L1055"/>
  <c r="N1054"/>
  <c r="M1054"/>
  <c r="L1054"/>
  <c r="N1053"/>
  <c r="M1053"/>
  <c r="L1053"/>
  <c r="N1052"/>
  <c r="M1052"/>
  <c r="L1052"/>
  <c r="N1051"/>
  <c r="M1051"/>
  <c r="L1051"/>
  <c r="N1050"/>
  <c r="M1050"/>
  <c r="L1050"/>
  <c r="N1049"/>
  <c r="M1049"/>
  <c r="L1049"/>
  <c r="N1048"/>
  <c r="M1048"/>
  <c r="L1048"/>
  <c r="N1047"/>
  <c r="M1047"/>
  <c r="L1047"/>
  <c r="N1046"/>
  <c r="M1046"/>
  <c r="L1046"/>
  <c r="N1045"/>
  <c r="M1045"/>
  <c r="L1045"/>
  <c r="N1044"/>
  <c r="M1044"/>
  <c r="L1044"/>
  <c r="N1043"/>
  <c r="M1043"/>
  <c r="L1043"/>
  <c r="N1042"/>
  <c r="M1042"/>
  <c r="L1042"/>
  <c r="N1041"/>
  <c r="M1041"/>
  <c r="L1041"/>
  <c r="N1040"/>
  <c r="M1040"/>
  <c r="L1040"/>
  <c r="N1039"/>
  <c r="M1039"/>
  <c r="L1039"/>
  <c r="N1038"/>
  <c r="M1038"/>
  <c r="L1038"/>
  <c r="N1037"/>
  <c r="M1037"/>
  <c r="L1037"/>
  <c r="N1036"/>
  <c r="M1036"/>
  <c r="L1036"/>
  <c r="N1035"/>
  <c r="M1035"/>
  <c r="L1035"/>
  <c r="N1034"/>
  <c r="M1034"/>
  <c r="L1034"/>
  <c r="N1033"/>
  <c r="M1033"/>
  <c r="L1033"/>
  <c r="N1032"/>
  <c r="M1032"/>
  <c r="L1032"/>
  <c r="N1031"/>
  <c r="M1031"/>
  <c r="L1031"/>
  <c r="N1030"/>
  <c r="M1030"/>
  <c r="L1030"/>
  <c r="N1029"/>
  <c r="M1029"/>
  <c r="L1029"/>
  <c r="N1028"/>
  <c r="M1028"/>
  <c r="L1028"/>
  <c r="N1027"/>
  <c r="M1027"/>
  <c r="L1027"/>
  <c r="N1026"/>
  <c r="M1026"/>
  <c r="L1026"/>
  <c r="N1025"/>
  <c r="M1025"/>
  <c r="L1025"/>
  <c r="N1024"/>
  <c r="M1024"/>
  <c r="L1024"/>
  <c r="N1023"/>
  <c r="M1023"/>
  <c r="L1023"/>
  <c r="N1022"/>
  <c r="M1022"/>
  <c r="L1022"/>
  <c r="N1021"/>
  <c r="M1021"/>
  <c r="L1021"/>
  <c r="N1020"/>
  <c r="M1020"/>
  <c r="L1020"/>
  <c r="N1019"/>
  <c r="M1019"/>
  <c r="L1019"/>
  <c r="N1018"/>
  <c r="M1018"/>
  <c r="L1018"/>
  <c r="N1017"/>
  <c r="M1017"/>
  <c r="L1017"/>
  <c r="N1016"/>
  <c r="M1016"/>
  <c r="L1016"/>
  <c r="N1015"/>
  <c r="M1015"/>
  <c r="L1015"/>
  <c r="N1014"/>
  <c r="M1014"/>
  <c r="L1014"/>
  <c r="N1013"/>
  <c r="M1013"/>
  <c r="L1013"/>
  <c r="N1012"/>
  <c r="M1012"/>
  <c r="L1012"/>
  <c r="N1011"/>
  <c r="M1011"/>
  <c r="L1011"/>
  <c r="N1010"/>
  <c r="M1010"/>
  <c r="L1010"/>
  <c r="N1009"/>
  <c r="M1009"/>
  <c r="L1009"/>
  <c r="N1008"/>
  <c r="M1008"/>
  <c r="L1008"/>
  <c r="N1007"/>
  <c r="M1007"/>
  <c r="L1007"/>
  <c r="N1006"/>
  <c r="M1006"/>
  <c r="L1006"/>
  <c r="N1005"/>
  <c r="M1005"/>
  <c r="L1005"/>
  <c r="N1004"/>
  <c r="M1004"/>
  <c r="L1004"/>
  <c r="N1003"/>
  <c r="M1003"/>
  <c r="L1003"/>
  <c r="N1002"/>
  <c r="M1002"/>
  <c r="L1002"/>
  <c r="N1001"/>
  <c r="M1001"/>
  <c r="L1001"/>
  <c r="N1000"/>
  <c r="M1000"/>
  <c r="L1000"/>
  <c r="N999"/>
  <c r="M999"/>
  <c r="L999"/>
  <c r="N998"/>
  <c r="M998"/>
  <c r="L998"/>
  <c r="N997"/>
  <c r="M997"/>
  <c r="L997"/>
  <c r="N996"/>
  <c r="M996"/>
  <c r="L996"/>
  <c r="N995"/>
  <c r="M995"/>
  <c r="L995"/>
  <c r="N994"/>
  <c r="M994"/>
  <c r="L994"/>
  <c r="N993"/>
  <c r="M993"/>
  <c r="L993"/>
  <c r="N992"/>
  <c r="M992"/>
  <c r="L992"/>
  <c r="N991"/>
  <c r="M991"/>
  <c r="L991"/>
  <c r="N990"/>
  <c r="M990"/>
  <c r="L990"/>
  <c r="N989"/>
  <c r="M989"/>
  <c r="L989"/>
  <c r="N988"/>
  <c r="M988"/>
  <c r="L988"/>
  <c r="N987"/>
  <c r="M987"/>
  <c r="L987"/>
  <c r="N986"/>
  <c r="M986"/>
  <c r="L986"/>
  <c r="N985"/>
  <c r="M985"/>
  <c r="L985"/>
  <c r="N984"/>
  <c r="M984"/>
  <c r="L984"/>
  <c r="N983"/>
  <c r="M983"/>
  <c r="L983"/>
  <c r="N982"/>
  <c r="M982"/>
  <c r="L982"/>
  <c r="N981"/>
  <c r="M981"/>
  <c r="L981"/>
  <c r="N980"/>
  <c r="M980"/>
  <c r="L980"/>
  <c r="N979"/>
  <c r="M979"/>
  <c r="L979"/>
  <c r="N978"/>
  <c r="M978"/>
  <c r="L978"/>
  <c r="N977"/>
  <c r="M977"/>
  <c r="L977"/>
  <c r="N976"/>
  <c r="M976"/>
  <c r="L976"/>
  <c r="N975"/>
  <c r="M975"/>
  <c r="L975"/>
  <c r="N974"/>
  <c r="M974"/>
  <c r="L974"/>
  <c r="N973"/>
  <c r="M973"/>
  <c r="L973"/>
  <c r="N972"/>
  <c r="M972"/>
  <c r="L972"/>
  <c r="N971"/>
  <c r="M971"/>
  <c r="L971"/>
  <c r="N970"/>
  <c r="M970"/>
  <c r="L970"/>
  <c r="N969"/>
  <c r="M969"/>
  <c r="L969"/>
  <c r="N968"/>
  <c r="M968"/>
  <c r="L968"/>
  <c r="N967"/>
  <c r="M967"/>
  <c r="L967"/>
  <c r="N966"/>
  <c r="M966"/>
  <c r="L966"/>
  <c r="N965"/>
  <c r="M965"/>
  <c r="L965"/>
  <c r="N964"/>
  <c r="M964"/>
  <c r="L964"/>
  <c r="N963"/>
  <c r="M963"/>
  <c r="L963"/>
  <c r="N962"/>
  <c r="M962"/>
  <c r="L962"/>
  <c r="N961"/>
  <c r="M961"/>
  <c r="L961"/>
  <c r="N960"/>
  <c r="M960"/>
  <c r="L960"/>
  <c r="N959"/>
  <c r="M959"/>
  <c r="L959"/>
  <c r="N958"/>
  <c r="M958"/>
  <c r="L958"/>
  <c r="N957"/>
  <c r="M957"/>
  <c r="L957"/>
  <c r="N956"/>
  <c r="M956"/>
  <c r="L956"/>
  <c r="N955"/>
  <c r="M955"/>
  <c r="L955"/>
  <c r="N954"/>
  <c r="M954"/>
  <c r="L954"/>
  <c r="N953"/>
  <c r="M953"/>
  <c r="L953"/>
  <c r="N952"/>
  <c r="M952"/>
  <c r="L952"/>
  <c r="N951"/>
  <c r="M951"/>
  <c r="L951"/>
  <c r="N950"/>
  <c r="M950"/>
  <c r="L950"/>
  <c r="N949"/>
  <c r="M949"/>
  <c r="L949"/>
  <c r="N948"/>
  <c r="M948"/>
  <c r="L948"/>
  <c r="N947"/>
  <c r="M947"/>
  <c r="L947"/>
  <c r="N946"/>
  <c r="M946"/>
  <c r="L946"/>
  <c r="N945"/>
  <c r="M945"/>
  <c r="L945"/>
  <c r="N944"/>
  <c r="M944"/>
  <c r="L944"/>
  <c r="N943"/>
  <c r="M943"/>
  <c r="L943"/>
  <c r="N942"/>
  <c r="M942"/>
  <c r="L942"/>
  <c r="N941"/>
  <c r="M941"/>
  <c r="L941"/>
  <c r="N940"/>
  <c r="M940"/>
  <c r="L940"/>
  <c r="N939"/>
  <c r="M939"/>
  <c r="L939"/>
  <c r="N938"/>
  <c r="M938"/>
  <c r="L938"/>
  <c r="N937"/>
  <c r="M937"/>
  <c r="L937"/>
  <c r="N936"/>
  <c r="M936"/>
  <c r="L936"/>
  <c r="N935"/>
  <c r="M935"/>
  <c r="L935"/>
  <c r="N934"/>
  <c r="M934"/>
  <c r="L934"/>
  <c r="N933"/>
  <c r="M933"/>
  <c r="L933"/>
  <c r="N932"/>
  <c r="M932"/>
  <c r="L932"/>
  <c r="N931"/>
  <c r="M931"/>
  <c r="L931"/>
  <c r="N930"/>
  <c r="M930"/>
  <c r="L930"/>
  <c r="N929"/>
  <c r="M929"/>
  <c r="L929"/>
  <c r="N928"/>
  <c r="M928"/>
  <c r="L928"/>
  <c r="N927"/>
  <c r="M927"/>
  <c r="L927"/>
  <c r="N926"/>
  <c r="M926"/>
  <c r="L926"/>
  <c r="N925"/>
  <c r="M925"/>
  <c r="L925"/>
  <c r="N924"/>
  <c r="M924"/>
  <c r="L924"/>
  <c r="N923"/>
  <c r="M923"/>
  <c r="L923"/>
  <c r="N922"/>
  <c r="M922"/>
  <c r="L922"/>
  <c r="N921"/>
  <c r="M921"/>
  <c r="L921"/>
  <c r="N920"/>
  <c r="M920"/>
  <c r="L920"/>
  <c r="N919"/>
  <c r="M919"/>
  <c r="L919"/>
  <c r="N918"/>
  <c r="M918"/>
  <c r="L918"/>
  <c r="N917"/>
  <c r="M917"/>
  <c r="L917"/>
  <c r="N916"/>
  <c r="M916"/>
  <c r="L916"/>
  <c r="N915"/>
  <c r="M915"/>
  <c r="L915"/>
  <c r="N914"/>
  <c r="M914"/>
  <c r="L914"/>
  <c r="N913"/>
  <c r="M913"/>
  <c r="L913"/>
  <c r="N912"/>
  <c r="M912"/>
  <c r="L912"/>
  <c r="N911"/>
  <c r="M911"/>
  <c r="L911"/>
  <c r="N910"/>
  <c r="M910"/>
  <c r="L910"/>
  <c r="N909"/>
  <c r="M909"/>
  <c r="L909"/>
  <c r="N908"/>
  <c r="M908"/>
  <c r="L908"/>
  <c r="N907"/>
  <c r="M907"/>
  <c r="L907"/>
  <c r="N906"/>
  <c r="M906"/>
  <c r="L906"/>
  <c r="N905"/>
  <c r="M905"/>
  <c r="L905"/>
  <c r="N904"/>
  <c r="M904"/>
  <c r="L904"/>
  <c r="N903"/>
  <c r="M903"/>
  <c r="L903"/>
  <c r="N902"/>
  <c r="M902"/>
  <c r="L902"/>
  <c r="N901"/>
  <c r="M901"/>
  <c r="L901"/>
  <c r="N900"/>
  <c r="M900"/>
  <c r="L900"/>
  <c r="N899"/>
  <c r="M899"/>
  <c r="L899"/>
  <c r="N898"/>
  <c r="M898"/>
  <c r="L898"/>
  <c r="N897"/>
  <c r="M897"/>
  <c r="L897"/>
  <c r="N896"/>
  <c r="M896"/>
  <c r="L896"/>
  <c r="N895"/>
  <c r="M895"/>
  <c r="L895"/>
  <c r="N894"/>
  <c r="M894"/>
  <c r="L894"/>
  <c r="N893"/>
  <c r="M893"/>
  <c r="L893"/>
  <c r="N892"/>
  <c r="M892"/>
  <c r="L892"/>
  <c r="N891"/>
  <c r="M891"/>
  <c r="L891"/>
  <c r="N890"/>
  <c r="M890"/>
  <c r="L890"/>
  <c r="N889"/>
  <c r="M889"/>
  <c r="L889"/>
  <c r="N888"/>
  <c r="M888"/>
  <c r="L888"/>
  <c r="N887"/>
  <c r="M887"/>
  <c r="L887"/>
  <c r="N886"/>
  <c r="M886"/>
  <c r="L886"/>
  <c r="N885"/>
  <c r="M885"/>
  <c r="L885"/>
  <c r="N884"/>
  <c r="M884"/>
  <c r="L884"/>
  <c r="N883"/>
  <c r="M883"/>
  <c r="L883"/>
  <c r="N882"/>
  <c r="M882"/>
  <c r="L882"/>
  <c r="N881"/>
  <c r="M881"/>
  <c r="L881"/>
  <c r="N880"/>
  <c r="M880"/>
  <c r="L880"/>
  <c r="N879"/>
  <c r="M879"/>
  <c r="L879"/>
  <c r="N878"/>
  <c r="M878"/>
  <c r="L878"/>
  <c r="N877"/>
  <c r="M877"/>
  <c r="L877"/>
  <c r="N876"/>
  <c r="M876"/>
  <c r="L876"/>
  <c r="N875"/>
  <c r="M875"/>
  <c r="L875"/>
  <c r="N874"/>
  <c r="M874"/>
  <c r="L874"/>
  <c r="N873"/>
  <c r="M873"/>
  <c r="L873"/>
  <c r="N872"/>
  <c r="M872"/>
  <c r="L872"/>
  <c r="N871"/>
  <c r="M871"/>
  <c r="L871"/>
  <c r="N870"/>
  <c r="M870"/>
  <c r="L870"/>
  <c r="N869"/>
  <c r="M869"/>
  <c r="L869"/>
  <c r="N868"/>
  <c r="M868"/>
  <c r="L868"/>
  <c r="N867"/>
  <c r="M867"/>
  <c r="L867"/>
  <c r="N866"/>
  <c r="M866"/>
  <c r="L866"/>
  <c r="N865"/>
  <c r="M865"/>
  <c r="L865"/>
  <c r="N864"/>
  <c r="M864"/>
  <c r="L864"/>
  <c r="N863"/>
  <c r="M863"/>
  <c r="L863"/>
  <c r="N862"/>
  <c r="M862"/>
  <c r="L862"/>
  <c r="N861"/>
  <c r="M861"/>
  <c r="L861"/>
  <c r="N860"/>
  <c r="M860"/>
  <c r="L860"/>
  <c r="N859"/>
  <c r="M859"/>
  <c r="L859"/>
  <c r="N858"/>
  <c r="M858"/>
  <c r="L858"/>
  <c r="N857"/>
  <c r="M857"/>
  <c r="L857"/>
  <c r="N856"/>
  <c r="M856"/>
  <c r="L856"/>
  <c r="N855"/>
  <c r="M855"/>
  <c r="L855"/>
  <c r="N854"/>
  <c r="M854"/>
  <c r="L854"/>
  <c r="N853"/>
  <c r="M853"/>
  <c r="L853"/>
  <c r="N852"/>
  <c r="M852"/>
  <c r="L852"/>
  <c r="N851"/>
  <c r="M851"/>
  <c r="L851"/>
  <c r="N850"/>
  <c r="M850"/>
  <c r="L850"/>
  <c r="N849"/>
  <c r="M849"/>
  <c r="L849"/>
  <c r="N848"/>
  <c r="M848"/>
  <c r="L848"/>
  <c r="N847"/>
  <c r="M847"/>
  <c r="L847"/>
  <c r="N846"/>
  <c r="M846"/>
  <c r="L846"/>
  <c r="N845"/>
  <c r="M845"/>
  <c r="L845"/>
  <c r="N844"/>
  <c r="M844"/>
  <c r="L844"/>
  <c r="N843"/>
  <c r="M843"/>
  <c r="L843"/>
  <c r="N842"/>
  <c r="M842"/>
  <c r="L842"/>
  <c r="N841"/>
  <c r="M841"/>
  <c r="L841"/>
  <c r="N840"/>
  <c r="M840"/>
  <c r="L840"/>
  <c r="N839"/>
  <c r="M839"/>
  <c r="L839"/>
  <c r="N838"/>
  <c r="M838"/>
  <c r="L838"/>
  <c r="N837"/>
  <c r="M837"/>
  <c r="L837"/>
  <c r="N836"/>
  <c r="M836"/>
  <c r="L836"/>
  <c r="N835"/>
  <c r="M835"/>
  <c r="L835"/>
  <c r="N834"/>
  <c r="M834"/>
  <c r="L834"/>
  <c r="N833"/>
  <c r="M833"/>
  <c r="L833"/>
  <c r="N832"/>
  <c r="M832"/>
  <c r="L832"/>
  <c r="N831"/>
  <c r="M831"/>
  <c r="L831"/>
  <c r="N830"/>
  <c r="M830"/>
  <c r="L830"/>
  <c r="N829"/>
  <c r="M829"/>
  <c r="L829"/>
  <c r="N828"/>
  <c r="M828"/>
  <c r="L828"/>
  <c r="N827"/>
  <c r="M827"/>
  <c r="L827"/>
  <c r="N826"/>
  <c r="M826"/>
  <c r="L826"/>
  <c r="N825"/>
  <c r="M825"/>
  <c r="L825"/>
  <c r="N824"/>
  <c r="M824"/>
  <c r="L824"/>
  <c r="N823"/>
  <c r="M823"/>
  <c r="L823"/>
  <c r="N822"/>
  <c r="M822"/>
  <c r="L822"/>
  <c r="N821"/>
  <c r="M821"/>
  <c r="L821"/>
  <c r="N820"/>
  <c r="M820"/>
  <c r="L820"/>
  <c r="N819"/>
  <c r="M819"/>
  <c r="L819"/>
  <c r="N818"/>
  <c r="M818"/>
  <c r="L818"/>
  <c r="N817"/>
  <c r="M817"/>
  <c r="L817"/>
  <c r="N816"/>
  <c r="M816"/>
  <c r="L816"/>
  <c r="N815"/>
  <c r="M815"/>
  <c r="L815"/>
  <c r="N814"/>
  <c r="M814"/>
  <c r="L814"/>
  <c r="N813"/>
  <c r="M813"/>
  <c r="L813"/>
  <c r="N812"/>
  <c r="M812"/>
  <c r="L812"/>
  <c r="N811"/>
  <c r="M811"/>
  <c r="L811"/>
  <c r="N810"/>
  <c r="M810"/>
  <c r="L810"/>
  <c r="N809"/>
  <c r="M809"/>
  <c r="L809"/>
  <c r="N808"/>
  <c r="M808"/>
  <c r="L808"/>
  <c r="N807"/>
  <c r="M807"/>
  <c r="L807"/>
  <c r="N806"/>
  <c r="M806"/>
  <c r="L806"/>
  <c r="N805"/>
  <c r="M805"/>
  <c r="L805"/>
  <c r="N804"/>
  <c r="M804"/>
  <c r="L804"/>
  <c r="N803"/>
  <c r="M803"/>
  <c r="L803"/>
  <c r="N802"/>
  <c r="M802"/>
  <c r="L802"/>
  <c r="N801"/>
  <c r="M801"/>
  <c r="L801"/>
  <c r="N800"/>
  <c r="M800"/>
  <c r="L800"/>
  <c r="N799"/>
  <c r="M799"/>
  <c r="L799"/>
  <c r="N798"/>
  <c r="M798"/>
  <c r="L798"/>
  <c r="N797"/>
  <c r="M797"/>
  <c r="L797"/>
  <c r="N796"/>
  <c r="M796"/>
  <c r="L796"/>
  <c r="N795"/>
  <c r="M795"/>
  <c r="L795"/>
  <c r="N794"/>
  <c r="M794"/>
  <c r="L794"/>
  <c r="N793"/>
  <c r="M793"/>
  <c r="L793"/>
  <c r="N792"/>
  <c r="M792"/>
  <c r="L792"/>
  <c r="N791"/>
  <c r="M791"/>
  <c r="L791"/>
  <c r="N790"/>
  <c r="M790"/>
  <c r="L790"/>
  <c r="N789"/>
  <c r="M789"/>
  <c r="L789"/>
  <c r="N788"/>
  <c r="M788"/>
  <c r="L788"/>
  <c r="N787"/>
  <c r="M787"/>
  <c r="L787"/>
  <c r="N786"/>
  <c r="M786"/>
  <c r="L786"/>
  <c r="N785"/>
  <c r="M785"/>
  <c r="L785"/>
  <c r="N784"/>
  <c r="M784"/>
  <c r="L784"/>
  <c r="N783"/>
  <c r="M783"/>
  <c r="L783"/>
  <c r="N782"/>
  <c r="M782"/>
  <c r="L782"/>
  <c r="N781"/>
  <c r="M781"/>
  <c r="L781"/>
  <c r="N780"/>
  <c r="M780"/>
  <c r="L780"/>
  <c r="N779"/>
  <c r="M779"/>
  <c r="L779"/>
  <c r="N778"/>
  <c r="M778"/>
  <c r="L778"/>
  <c r="N777"/>
  <c r="M777"/>
  <c r="L777"/>
  <c r="N776"/>
  <c r="M776"/>
  <c r="L776"/>
  <c r="N775"/>
  <c r="M775"/>
  <c r="L775"/>
  <c r="N774"/>
  <c r="M774"/>
  <c r="L774"/>
  <c r="N773"/>
  <c r="M773"/>
  <c r="L773"/>
  <c r="N772"/>
  <c r="M772"/>
  <c r="L772"/>
  <c r="N771"/>
  <c r="M771"/>
  <c r="L771"/>
  <c r="N770"/>
  <c r="M770"/>
  <c r="L770"/>
  <c r="N769"/>
  <c r="M769"/>
  <c r="L769"/>
  <c r="N768"/>
  <c r="M768"/>
  <c r="L768"/>
  <c r="N767"/>
  <c r="M767"/>
  <c r="L767"/>
  <c r="N766"/>
  <c r="M766"/>
  <c r="L766"/>
  <c r="N765"/>
  <c r="M765"/>
  <c r="L765"/>
  <c r="N764"/>
  <c r="M764"/>
  <c r="L764"/>
  <c r="N763"/>
  <c r="M763"/>
  <c r="L763"/>
  <c r="N762"/>
  <c r="M762"/>
  <c r="L762"/>
  <c r="N761"/>
  <c r="M761"/>
  <c r="L761"/>
  <c r="N760"/>
  <c r="M760"/>
  <c r="L760"/>
  <c r="N759"/>
  <c r="M759"/>
  <c r="L759"/>
  <c r="N758"/>
  <c r="M758"/>
  <c r="L758"/>
  <c r="N757"/>
  <c r="M757"/>
  <c r="L757"/>
  <c r="N756"/>
  <c r="M756"/>
  <c r="L756"/>
  <c r="N755"/>
  <c r="M755"/>
  <c r="L755"/>
  <c r="N754"/>
  <c r="M754"/>
  <c r="L754"/>
  <c r="N753"/>
  <c r="M753"/>
  <c r="L753"/>
  <c r="N752"/>
  <c r="M752"/>
  <c r="L752"/>
  <c r="N751"/>
  <c r="M751"/>
  <c r="L751"/>
  <c r="N750"/>
  <c r="M750"/>
  <c r="L750"/>
  <c r="N749"/>
  <c r="M749"/>
  <c r="L749"/>
  <c r="N748"/>
  <c r="M748"/>
  <c r="L748"/>
  <c r="N747"/>
  <c r="M747"/>
  <c r="L747"/>
  <c r="N746"/>
  <c r="M746"/>
  <c r="L746"/>
  <c r="N745"/>
  <c r="M745"/>
  <c r="L745"/>
  <c r="N744"/>
  <c r="M744"/>
  <c r="L744"/>
  <c r="N743"/>
  <c r="M743"/>
  <c r="L743"/>
  <c r="N742"/>
  <c r="M742"/>
  <c r="L742"/>
  <c r="N741"/>
  <c r="M741"/>
  <c r="L741"/>
  <c r="N740"/>
  <c r="M740"/>
  <c r="L740"/>
  <c r="N739"/>
  <c r="M739"/>
  <c r="L739"/>
  <c r="N738"/>
  <c r="M738"/>
  <c r="L738"/>
  <c r="N737"/>
  <c r="M737"/>
  <c r="L737"/>
  <c r="N736"/>
  <c r="M736"/>
  <c r="L736"/>
  <c r="N735"/>
  <c r="M735"/>
  <c r="L735"/>
  <c r="N734"/>
  <c r="M734"/>
  <c r="L734"/>
  <c r="N733"/>
  <c r="M733"/>
  <c r="L733"/>
  <c r="N732"/>
  <c r="M732"/>
  <c r="L732"/>
  <c r="N731"/>
  <c r="M731"/>
  <c r="L731"/>
  <c r="N730"/>
  <c r="M730"/>
  <c r="L730"/>
  <c r="N729"/>
  <c r="M729"/>
  <c r="L729"/>
  <c r="N728"/>
  <c r="M728"/>
  <c r="L728"/>
  <c r="N727"/>
  <c r="M727"/>
  <c r="L727"/>
  <c r="N726"/>
  <c r="M726"/>
  <c r="L726"/>
  <c r="N725"/>
  <c r="M725"/>
  <c r="L725"/>
  <c r="N724"/>
  <c r="M724"/>
  <c r="L724"/>
  <c r="N723"/>
  <c r="M723"/>
  <c r="L723"/>
  <c r="N722"/>
  <c r="M722"/>
  <c r="L722"/>
  <c r="N721"/>
  <c r="M721"/>
  <c r="L721"/>
  <c r="N720"/>
  <c r="M720"/>
  <c r="L720"/>
  <c r="N719"/>
  <c r="M719"/>
  <c r="L719"/>
  <c r="N718"/>
  <c r="M718"/>
  <c r="L718"/>
  <c r="N717"/>
  <c r="M717"/>
  <c r="L717"/>
  <c r="N716"/>
  <c r="M716"/>
  <c r="L716"/>
  <c r="N715"/>
  <c r="M715"/>
  <c r="L715"/>
  <c r="N714"/>
  <c r="M714"/>
  <c r="L714"/>
  <c r="N713"/>
  <c r="M713"/>
  <c r="L713"/>
  <c r="N712"/>
  <c r="M712"/>
  <c r="L712"/>
  <c r="N711"/>
  <c r="M711"/>
  <c r="L711"/>
  <c r="N710"/>
  <c r="M710"/>
  <c r="L710"/>
  <c r="N709"/>
  <c r="M709"/>
  <c r="L709"/>
  <c r="N708"/>
  <c r="M708"/>
  <c r="L708"/>
  <c r="N707"/>
  <c r="M707"/>
  <c r="L707"/>
  <c r="N706"/>
  <c r="M706"/>
  <c r="L706"/>
  <c r="N705"/>
  <c r="M705"/>
  <c r="L705"/>
  <c r="N704"/>
  <c r="M704"/>
  <c r="L704"/>
  <c r="N703"/>
  <c r="M703"/>
  <c r="L703"/>
  <c r="N702"/>
  <c r="M702"/>
  <c r="L702"/>
  <c r="N701"/>
  <c r="M701"/>
  <c r="L701"/>
  <c r="N700"/>
  <c r="M700"/>
  <c r="L700"/>
  <c r="N699"/>
  <c r="M699"/>
  <c r="L699"/>
  <c r="N698"/>
  <c r="M698"/>
  <c r="L698"/>
  <c r="N697"/>
  <c r="M697"/>
  <c r="L697"/>
  <c r="N696"/>
  <c r="M696"/>
  <c r="L696"/>
  <c r="N695"/>
  <c r="M695"/>
  <c r="L695"/>
  <c r="N694"/>
  <c r="M694"/>
  <c r="L694"/>
  <c r="N693"/>
  <c r="M693"/>
  <c r="L693"/>
  <c r="N692"/>
  <c r="M692"/>
  <c r="L692"/>
  <c r="N691"/>
  <c r="M691"/>
  <c r="L691"/>
  <c r="N690"/>
  <c r="M690"/>
  <c r="L690"/>
  <c r="N689"/>
  <c r="M689"/>
  <c r="L689"/>
  <c r="N688"/>
  <c r="M688"/>
  <c r="L688"/>
  <c r="N687"/>
  <c r="M687"/>
  <c r="L687"/>
  <c r="N686"/>
  <c r="M686"/>
  <c r="L686"/>
  <c r="N685"/>
  <c r="M685"/>
  <c r="L685"/>
  <c r="N684"/>
  <c r="M684"/>
  <c r="L684"/>
  <c r="N683"/>
  <c r="M683"/>
  <c r="L683"/>
  <c r="N682"/>
  <c r="M682"/>
  <c r="L682"/>
  <c r="N681"/>
  <c r="M681"/>
  <c r="L681"/>
  <c r="N680"/>
  <c r="M680"/>
  <c r="L680"/>
  <c r="N679"/>
  <c r="M679"/>
  <c r="L679"/>
  <c r="N678"/>
  <c r="M678"/>
  <c r="L678"/>
  <c r="N677"/>
  <c r="M677"/>
  <c r="L677"/>
  <c r="N676"/>
  <c r="M676"/>
  <c r="L676"/>
  <c r="N675"/>
  <c r="M675"/>
  <c r="L675"/>
  <c r="N674"/>
  <c r="M674"/>
  <c r="L674"/>
  <c r="N673"/>
  <c r="M673"/>
  <c r="L673"/>
  <c r="N672"/>
  <c r="M672"/>
  <c r="L672"/>
  <c r="N671"/>
  <c r="M671"/>
  <c r="L671"/>
  <c r="N670"/>
  <c r="M670"/>
  <c r="L670"/>
  <c r="N669"/>
  <c r="M669"/>
  <c r="L669"/>
  <c r="N668"/>
  <c r="M668"/>
  <c r="L668"/>
  <c r="N667"/>
  <c r="M667"/>
  <c r="L667"/>
  <c r="N666"/>
  <c r="M666"/>
  <c r="L666"/>
  <c r="N665"/>
  <c r="M665"/>
  <c r="L665"/>
  <c r="N664"/>
  <c r="M664"/>
  <c r="L664"/>
  <c r="N663"/>
  <c r="M663"/>
  <c r="L663"/>
  <c r="N662"/>
  <c r="M662"/>
  <c r="L662"/>
  <c r="N661"/>
  <c r="M661"/>
  <c r="L661"/>
  <c r="N660"/>
  <c r="M660"/>
  <c r="L660"/>
  <c r="N659"/>
  <c r="M659"/>
  <c r="L659"/>
  <c r="N658"/>
  <c r="M658"/>
  <c r="L658"/>
  <c r="N657"/>
  <c r="M657"/>
  <c r="L657"/>
  <c r="N656"/>
  <c r="M656"/>
  <c r="L656"/>
  <c r="N655"/>
  <c r="M655"/>
  <c r="L655"/>
  <c r="N654"/>
  <c r="M654"/>
  <c r="L654"/>
  <c r="N653"/>
  <c r="M653"/>
  <c r="L653"/>
  <c r="N652"/>
  <c r="M652"/>
  <c r="L652"/>
  <c r="N651"/>
  <c r="M651"/>
  <c r="L651"/>
  <c r="N650"/>
  <c r="M650"/>
  <c r="L650"/>
  <c r="N649"/>
  <c r="M649"/>
  <c r="L649"/>
  <c r="N648"/>
  <c r="M648"/>
  <c r="L648"/>
  <c r="N647"/>
  <c r="M647"/>
  <c r="L647"/>
  <c r="N646"/>
  <c r="M646"/>
  <c r="L646"/>
  <c r="N645"/>
  <c r="M645"/>
  <c r="L645"/>
  <c r="N644"/>
  <c r="M644"/>
  <c r="L644"/>
  <c r="N643"/>
  <c r="M643"/>
  <c r="L643"/>
  <c r="N642"/>
  <c r="M642"/>
  <c r="L642"/>
  <c r="N641"/>
  <c r="M641"/>
  <c r="L641"/>
  <c r="N640"/>
  <c r="M640"/>
  <c r="L640"/>
  <c r="N639"/>
  <c r="M639"/>
  <c r="L639"/>
  <c r="N638"/>
  <c r="M638"/>
  <c r="L638"/>
  <c r="N637"/>
  <c r="M637"/>
  <c r="L637"/>
  <c r="N636"/>
  <c r="M636"/>
  <c r="L636"/>
  <c r="N635"/>
  <c r="M635"/>
  <c r="L635"/>
  <c r="N634"/>
  <c r="M634"/>
  <c r="L634"/>
  <c r="N633"/>
  <c r="M633"/>
  <c r="L633"/>
  <c r="N632"/>
  <c r="M632"/>
  <c r="L632"/>
  <c r="N631"/>
  <c r="M631"/>
  <c r="L631"/>
  <c r="N630"/>
  <c r="M630"/>
  <c r="L630"/>
  <c r="N629"/>
  <c r="M629"/>
  <c r="L629"/>
  <c r="N628"/>
  <c r="M628"/>
  <c r="L628"/>
  <c r="N627"/>
  <c r="M627"/>
  <c r="L627"/>
  <c r="N626"/>
  <c r="M626"/>
  <c r="L626"/>
  <c r="N625"/>
  <c r="M625"/>
  <c r="L625"/>
  <c r="N624"/>
  <c r="M624"/>
  <c r="L624"/>
  <c r="N623"/>
  <c r="M623"/>
  <c r="L623"/>
  <c r="N622"/>
  <c r="M622"/>
  <c r="L622"/>
  <c r="N621"/>
  <c r="M621"/>
  <c r="L621"/>
  <c r="N620"/>
  <c r="M620"/>
  <c r="L620"/>
  <c r="N619"/>
  <c r="M619"/>
  <c r="L619"/>
  <c r="N618"/>
  <c r="M618"/>
  <c r="L618"/>
  <c r="N617"/>
  <c r="M617"/>
  <c r="L617"/>
  <c r="N616"/>
  <c r="M616"/>
  <c r="L616"/>
  <c r="N615"/>
  <c r="M615"/>
  <c r="L615"/>
  <c r="N614"/>
  <c r="M614"/>
  <c r="L614"/>
  <c r="N613"/>
  <c r="M613"/>
  <c r="L613"/>
  <c r="N612"/>
  <c r="M612"/>
  <c r="L612"/>
  <c r="N611"/>
  <c r="M611"/>
  <c r="L611"/>
  <c r="N610"/>
  <c r="M610"/>
  <c r="L610"/>
  <c r="N609"/>
  <c r="M609"/>
  <c r="L609"/>
  <c r="N608"/>
  <c r="M608"/>
  <c r="L608"/>
  <c r="N607"/>
  <c r="M607"/>
  <c r="L607"/>
  <c r="N606"/>
  <c r="M606"/>
  <c r="L606"/>
  <c r="N605"/>
  <c r="M605"/>
  <c r="L605"/>
  <c r="N604"/>
  <c r="M604"/>
  <c r="L604"/>
  <c r="N603"/>
  <c r="M603"/>
  <c r="L603"/>
  <c r="N602"/>
  <c r="M602"/>
  <c r="L602"/>
  <c r="N601"/>
  <c r="M601"/>
  <c r="L601"/>
  <c r="N600"/>
  <c r="M600"/>
  <c r="L600"/>
  <c r="N599"/>
  <c r="M599"/>
  <c r="L599"/>
  <c r="N598"/>
  <c r="M598"/>
  <c r="L598"/>
  <c r="N597"/>
  <c r="M597"/>
  <c r="L597"/>
  <c r="N596"/>
  <c r="M596"/>
  <c r="L596"/>
  <c r="N595"/>
  <c r="M595"/>
  <c r="L595"/>
  <c r="N594"/>
  <c r="M594"/>
  <c r="L594"/>
  <c r="N593"/>
  <c r="M593"/>
  <c r="L593"/>
  <c r="N592"/>
  <c r="M592"/>
  <c r="L592"/>
  <c r="N591"/>
  <c r="M591"/>
  <c r="L591"/>
  <c r="N590"/>
  <c r="M590"/>
  <c r="L590"/>
  <c r="N589"/>
  <c r="M589"/>
  <c r="L589"/>
  <c r="N588"/>
  <c r="M588"/>
  <c r="L588"/>
  <c r="N587"/>
  <c r="M587"/>
  <c r="L587"/>
  <c r="N586"/>
  <c r="M586"/>
  <c r="L586"/>
  <c r="N585"/>
  <c r="M585"/>
  <c r="L585"/>
  <c r="N584"/>
  <c r="M584"/>
  <c r="L584"/>
  <c r="N583"/>
  <c r="M583"/>
  <c r="L583"/>
  <c r="N582"/>
  <c r="M582"/>
  <c r="L582"/>
  <c r="N581"/>
  <c r="M581"/>
  <c r="L581"/>
  <c r="N580"/>
  <c r="M580"/>
  <c r="L580"/>
  <c r="N579"/>
  <c r="M579"/>
  <c r="L579"/>
  <c r="N578"/>
  <c r="M578"/>
  <c r="L578"/>
  <c r="N577"/>
  <c r="M577"/>
  <c r="L577"/>
  <c r="N576"/>
  <c r="M576"/>
  <c r="L576"/>
  <c r="N575"/>
  <c r="M575"/>
  <c r="L575"/>
  <c r="N574"/>
  <c r="M574"/>
  <c r="L574"/>
  <c r="N573"/>
  <c r="M573"/>
  <c r="L573"/>
  <c r="N572"/>
  <c r="M572"/>
  <c r="L572"/>
  <c r="N571"/>
  <c r="M571"/>
  <c r="L571"/>
  <c r="N570"/>
  <c r="M570"/>
  <c r="L570"/>
  <c r="N569"/>
  <c r="M569"/>
  <c r="L569"/>
  <c r="N568"/>
  <c r="M568"/>
  <c r="L568"/>
  <c r="N567"/>
  <c r="M567"/>
  <c r="L567"/>
  <c r="N566"/>
  <c r="M566"/>
  <c r="L566"/>
  <c r="N565"/>
  <c r="M565"/>
  <c r="L565"/>
  <c r="N564"/>
  <c r="M564"/>
  <c r="L564"/>
  <c r="N563"/>
  <c r="M563"/>
  <c r="L563"/>
  <c r="N562"/>
  <c r="M562"/>
  <c r="L562"/>
  <c r="N561"/>
  <c r="M561"/>
  <c r="L561"/>
  <c r="N560"/>
  <c r="M560"/>
  <c r="L560"/>
  <c r="N559"/>
  <c r="M559"/>
  <c r="L559"/>
  <c r="N558"/>
  <c r="M558"/>
  <c r="L558"/>
  <c r="N557"/>
  <c r="M557"/>
  <c r="L557"/>
  <c r="N556"/>
  <c r="M556"/>
  <c r="L556"/>
  <c r="N555"/>
  <c r="M555"/>
  <c r="L555"/>
  <c r="N554"/>
  <c r="M554"/>
  <c r="L554"/>
  <c r="N553"/>
  <c r="M553"/>
  <c r="L553"/>
  <c r="N552"/>
  <c r="M552"/>
  <c r="L552"/>
  <c r="N551"/>
  <c r="M551"/>
  <c r="L551"/>
  <c r="N550"/>
  <c r="M550"/>
  <c r="L550"/>
  <c r="N549"/>
  <c r="M549"/>
  <c r="L549"/>
  <c r="N548"/>
  <c r="M548"/>
  <c r="L548"/>
  <c r="N547"/>
  <c r="M547"/>
  <c r="L547"/>
  <c r="N546"/>
  <c r="M546"/>
  <c r="L546"/>
  <c r="N545"/>
  <c r="M545"/>
  <c r="L545"/>
  <c r="N544"/>
  <c r="M544"/>
  <c r="L544"/>
  <c r="N543"/>
  <c r="M543"/>
  <c r="L543"/>
  <c r="N542"/>
  <c r="M542"/>
  <c r="L542"/>
  <c r="N541"/>
  <c r="M541"/>
  <c r="L541"/>
  <c r="N540"/>
  <c r="M540"/>
  <c r="L540"/>
  <c r="N539"/>
  <c r="M539"/>
  <c r="L539"/>
  <c r="N538"/>
  <c r="M538"/>
  <c r="L538"/>
  <c r="N537"/>
  <c r="M537"/>
  <c r="L537"/>
  <c r="N536"/>
  <c r="M536"/>
  <c r="L536"/>
  <c r="N535"/>
  <c r="M535"/>
  <c r="L535"/>
  <c r="N534"/>
  <c r="M534"/>
  <c r="L534"/>
  <c r="N533"/>
  <c r="M533"/>
  <c r="L533"/>
  <c r="N532"/>
  <c r="M532"/>
  <c r="L532"/>
  <c r="N531"/>
  <c r="M531"/>
  <c r="L531"/>
  <c r="N530"/>
  <c r="M530"/>
  <c r="L530"/>
  <c r="N529"/>
  <c r="M529"/>
  <c r="L529"/>
  <c r="N528"/>
  <c r="M528"/>
  <c r="L528"/>
  <c r="N527"/>
  <c r="M527"/>
  <c r="L527"/>
  <c r="N526"/>
  <c r="M526"/>
  <c r="L526"/>
  <c r="N525"/>
  <c r="M525"/>
  <c r="L525"/>
  <c r="N524"/>
  <c r="M524"/>
  <c r="L524"/>
  <c r="N523"/>
  <c r="M523"/>
  <c r="L523"/>
  <c r="N522"/>
  <c r="M522"/>
  <c r="L522"/>
  <c r="N521"/>
  <c r="M521"/>
  <c r="L521"/>
  <c r="N520"/>
  <c r="M520"/>
  <c r="L520"/>
  <c r="N519"/>
  <c r="M519"/>
  <c r="L519"/>
  <c r="N518"/>
  <c r="M518"/>
  <c r="L518"/>
  <c r="N517"/>
  <c r="M517"/>
  <c r="L517"/>
  <c r="N516"/>
  <c r="M516"/>
  <c r="L516"/>
  <c r="N515"/>
  <c r="M515"/>
  <c r="L515"/>
  <c r="N514"/>
  <c r="M514"/>
  <c r="L514"/>
  <c r="N513"/>
  <c r="M513"/>
  <c r="L513"/>
  <c r="N512"/>
  <c r="M512"/>
  <c r="L512"/>
  <c r="N511"/>
  <c r="M511"/>
  <c r="L511"/>
  <c r="N510"/>
  <c r="M510"/>
  <c r="L510"/>
  <c r="N509"/>
  <c r="M509"/>
  <c r="L509"/>
  <c r="N508"/>
  <c r="M508"/>
  <c r="L508"/>
  <c r="N507"/>
  <c r="M507"/>
  <c r="L507"/>
  <c r="N506"/>
  <c r="M506"/>
  <c r="L506"/>
  <c r="N505"/>
  <c r="M505"/>
  <c r="L505"/>
  <c r="N504"/>
  <c r="M504"/>
  <c r="L504"/>
  <c r="N503"/>
  <c r="M503"/>
  <c r="L503"/>
  <c r="N502"/>
  <c r="M502"/>
  <c r="L502"/>
  <c r="N501"/>
  <c r="M501"/>
  <c r="L501"/>
  <c r="N500"/>
  <c r="M500"/>
  <c r="L500"/>
  <c r="N499"/>
  <c r="M499"/>
  <c r="L499"/>
  <c r="N498"/>
  <c r="M498"/>
  <c r="L498"/>
  <c r="N497"/>
  <c r="M497"/>
  <c r="L497"/>
  <c r="N496"/>
  <c r="M496"/>
  <c r="L496"/>
  <c r="N495"/>
  <c r="M495"/>
  <c r="L495"/>
  <c r="N494"/>
  <c r="M494"/>
  <c r="L494"/>
  <c r="N493"/>
  <c r="M493"/>
  <c r="L493"/>
  <c r="N492"/>
  <c r="M492"/>
  <c r="L492"/>
  <c r="N491"/>
  <c r="M491"/>
  <c r="L491"/>
  <c r="N490"/>
  <c r="M490"/>
  <c r="L490"/>
  <c r="N489"/>
  <c r="M489"/>
  <c r="L489"/>
  <c r="N488"/>
  <c r="M488"/>
  <c r="L488"/>
  <c r="N487"/>
  <c r="M487"/>
  <c r="L487"/>
  <c r="N486"/>
  <c r="M486"/>
  <c r="L486"/>
  <c r="N485"/>
  <c r="M485"/>
  <c r="L485"/>
  <c r="N484"/>
  <c r="M484"/>
  <c r="L484"/>
  <c r="N483"/>
  <c r="M483"/>
  <c r="L483"/>
  <c r="N482"/>
  <c r="M482"/>
  <c r="L482"/>
  <c r="N481"/>
  <c r="M481"/>
  <c r="L481"/>
  <c r="N480"/>
  <c r="M480"/>
  <c r="L480"/>
  <c r="N479"/>
  <c r="M479"/>
  <c r="L479"/>
  <c r="N478"/>
  <c r="M478"/>
  <c r="L478"/>
  <c r="N477"/>
  <c r="M477"/>
  <c r="L477"/>
  <c r="N476"/>
  <c r="M476"/>
  <c r="L476"/>
  <c r="N475"/>
  <c r="M475"/>
  <c r="L475"/>
  <c r="N474"/>
  <c r="M474"/>
  <c r="L474"/>
  <c r="N473"/>
  <c r="M473"/>
  <c r="L473"/>
  <c r="N472"/>
  <c r="M472"/>
  <c r="L472"/>
  <c r="N471"/>
  <c r="M471"/>
  <c r="L471"/>
  <c r="N470"/>
  <c r="M470"/>
  <c r="L470"/>
  <c r="N469"/>
  <c r="M469"/>
  <c r="L469"/>
  <c r="N468"/>
  <c r="M468"/>
  <c r="L468"/>
  <c r="N467"/>
  <c r="M467"/>
  <c r="L467"/>
  <c r="N466"/>
  <c r="M466"/>
  <c r="L466"/>
  <c r="N465"/>
  <c r="M465"/>
  <c r="L465"/>
  <c r="N464"/>
  <c r="M464"/>
  <c r="L464"/>
  <c r="N463"/>
  <c r="M463"/>
  <c r="L463"/>
  <c r="N462"/>
  <c r="M462"/>
  <c r="L462"/>
  <c r="N461"/>
  <c r="M461"/>
  <c r="L461"/>
  <c r="N460"/>
  <c r="M460"/>
  <c r="L460"/>
  <c r="N459"/>
  <c r="M459"/>
  <c r="L459"/>
  <c r="N458"/>
  <c r="M458"/>
  <c r="L458"/>
  <c r="N457"/>
  <c r="M457"/>
  <c r="L457"/>
  <c r="N456"/>
  <c r="M456"/>
  <c r="L456"/>
  <c r="N455"/>
  <c r="M455"/>
  <c r="L455"/>
  <c r="N454"/>
  <c r="M454"/>
  <c r="L454"/>
  <c r="N453"/>
  <c r="M453"/>
  <c r="L453"/>
  <c r="N452"/>
  <c r="M452"/>
  <c r="L452"/>
  <c r="N451"/>
  <c r="M451"/>
  <c r="L451"/>
  <c r="N450"/>
  <c r="M450"/>
  <c r="L450"/>
  <c r="N449"/>
  <c r="M449"/>
  <c r="L449"/>
  <c r="N448"/>
  <c r="M448"/>
  <c r="L448"/>
  <c r="N447"/>
  <c r="M447"/>
  <c r="L447"/>
  <c r="N446"/>
  <c r="M446"/>
  <c r="L446"/>
  <c r="N445"/>
  <c r="M445"/>
  <c r="L445"/>
  <c r="N444"/>
  <c r="M444"/>
  <c r="L444"/>
  <c r="N443"/>
  <c r="M443"/>
  <c r="L443"/>
  <c r="N442"/>
  <c r="M442"/>
  <c r="L442"/>
  <c r="N441"/>
  <c r="M441"/>
  <c r="L441"/>
  <c r="N440"/>
  <c r="M440"/>
  <c r="L440"/>
  <c r="N439"/>
  <c r="M439"/>
  <c r="L439"/>
  <c r="N438"/>
  <c r="M438"/>
  <c r="L438"/>
  <c r="N437"/>
  <c r="M437"/>
  <c r="L437"/>
  <c r="N436"/>
  <c r="M436"/>
  <c r="L436"/>
  <c r="N435"/>
  <c r="M435"/>
  <c r="L435"/>
  <c r="N434"/>
  <c r="M434"/>
  <c r="L434"/>
  <c r="N433"/>
  <c r="M433"/>
  <c r="L433"/>
  <c r="N432"/>
  <c r="M432"/>
  <c r="L432"/>
  <c r="N431"/>
  <c r="M431"/>
  <c r="L431"/>
  <c r="N430"/>
  <c r="M430"/>
  <c r="L430"/>
  <c r="N429"/>
  <c r="M429"/>
  <c r="L429"/>
  <c r="N428"/>
  <c r="M428"/>
  <c r="L428"/>
  <c r="N427"/>
  <c r="M427"/>
  <c r="L427"/>
  <c r="N426"/>
  <c r="M426"/>
  <c r="L426"/>
  <c r="N425"/>
  <c r="M425"/>
  <c r="L425"/>
  <c r="N424"/>
  <c r="M424"/>
  <c r="L424"/>
  <c r="N423"/>
  <c r="M423"/>
  <c r="L423"/>
  <c r="N422"/>
  <c r="M422"/>
  <c r="L422"/>
  <c r="N421"/>
  <c r="M421"/>
  <c r="L421"/>
  <c r="N420"/>
  <c r="M420"/>
  <c r="L420"/>
  <c r="N419"/>
  <c r="M419"/>
  <c r="L419"/>
  <c r="N418"/>
  <c r="M418"/>
  <c r="L418"/>
  <c r="N417"/>
  <c r="M417"/>
  <c r="L417"/>
  <c r="N416"/>
  <c r="M416"/>
  <c r="L416"/>
  <c r="N415"/>
  <c r="M415"/>
  <c r="L415"/>
  <c r="N414"/>
  <c r="M414"/>
  <c r="L414"/>
  <c r="N413"/>
  <c r="M413"/>
  <c r="L413"/>
  <c r="N412"/>
  <c r="M412"/>
  <c r="L412"/>
  <c r="N411"/>
  <c r="M411"/>
  <c r="L411"/>
  <c r="N410"/>
  <c r="M410"/>
  <c r="L410"/>
  <c r="N409"/>
  <c r="M409"/>
  <c r="L409"/>
  <c r="N408"/>
  <c r="M408"/>
  <c r="L408"/>
  <c r="N407"/>
  <c r="M407"/>
  <c r="L407"/>
  <c r="N406"/>
  <c r="M406"/>
  <c r="L406"/>
  <c r="N405"/>
  <c r="M405"/>
  <c r="L405"/>
  <c r="N404"/>
  <c r="M404"/>
  <c r="L404"/>
  <c r="N403"/>
  <c r="M403"/>
  <c r="L403"/>
  <c r="N402"/>
  <c r="M402"/>
  <c r="L402"/>
  <c r="N401"/>
  <c r="M401"/>
  <c r="L401"/>
  <c r="N400"/>
  <c r="M400"/>
  <c r="L400"/>
  <c r="N399"/>
  <c r="M399"/>
  <c r="L399"/>
  <c r="N398"/>
  <c r="M398"/>
  <c r="L398"/>
  <c r="N397"/>
  <c r="M397"/>
  <c r="L397"/>
  <c r="N396"/>
  <c r="M396"/>
  <c r="L396"/>
  <c r="N395"/>
  <c r="M395"/>
  <c r="L395"/>
  <c r="N394"/>
  <c r="M394"/>
  <c r="L394"/>
  <c r="N393"/>
  <c r="M393"/>
  <c r="L393"/>
  <c r="N392"/>
  <c r="M392"/>
  <c r="L392"/>
  <c r="N391"/>
  <c r="M391"/>
  <c r="L391"/>
  <c r="N390"/>
  <c r="M390"/>
  <c r="L390"/>
  <c r="N389"/>
  <c r="M389"/>
  <c r="L389"/>
  <c r="N388"/>
  <c r="M388"/>
  <c r="L388"/>
  <c r="N387"/>
  <c r="M387"/>
  <c r="L387"/>
  <c r="N386"/>
  <c r="M386"/>
  <c r="L386"/>
  <c r="N385"/>
  <c r="M385"/>
  <c r="L385"/>
  <c r="N384"/>
  <c r="M384"/>
  <c r="L384"/>
  <c r="N383"/>
  <c r="M383"/>
  <c r="L383"/>
  <c r="N382"/>
  <c r="M382"/>
  <c r="L382"/>
  <c r="N381"/>
  <c r="M381"/>
  <c r="L381"/>
  <c r="N380"/>
  <c r="M380"/>
  <c r="L380"/>
  <c r="N379"/>
  <c r="M379"/>
  <c r="L379"/>
  <c r="N378"/>
  <c r="M378"/>
  <c r="L378"/>
  <c r="N377"/>
  <c r="M377"/>
  <c r="L377"/>
  <c r="N376"/>
  <c r="M376"/>
  <c r="L376"/>
  <c r="N375"/>
  <c r="M375"/>
  <c r="L375"/>
  <c r="N374"/>
  <c r="M374"/>
  <c r="L374"/>
  <c r="N373"/>
  <c r="M373"/>
  <c r="L373"/>
  <c r="N372"/>
  <c r="M372"/>
  <c r="L372"/>
  <c r="N371"/>
  <c r="M371"/>
  <c r="L371"/>
  <c r="N370"/>
  <c r="M370"/>
  <c r="L370"/>
  <c r="N369"/>
  <c r="M369"/>
  <c r="L369"/>
  <c r="N368"/>
  <c r="M368"/>
  <c r="L368"/>
  <c r="N367"/>
  <c r="M367"/>
  <c r="L367"/>
  <c r="N366"/>
  <c r="M366"/>
  <c r="L366"/>
  <c r="N365"/>
  <c r="M365"/>
  <c r="L365"/>
  <c r="N364"/>
  <c r="M364"/>
  <c r="L364"/>
  <c r="N363"/>
  <c r="M363"/>
  <c r="L363"/>
  <c r="N362"/>
  <c r="M362"/>
  <c r="L362"/>
  <c r="N361"/>
  <c r="M361"/>
  <c r="L361"/>
  <c r="N360"/>
  <c r="M360"/>
  <c r="L360"/>
  <c r="N359"/>
  <c r="M359"/>
  <c r="L359"/>
  <c r="N358"/>
  <c r="M358"/>
  <c r="L358"/>
  <c r="N357"/>
  <c r="M357"/>
  <c r="L357"/>
  <c r="N356"/>
  <c r="M356"/>
  <c r="L356"/>
  <c r="N355"/>
  <c r="M355"/>
  <c r="L355"/>
  <c r="N354"/>
  <c r="M354"/>
  <c r="L354"/>
  <c r="N353"/>
  <c r="M353"/>
  <c r="L353"/>
  <c r="N352"/>
  <c r="M352"/>
  <c r="L352"/>
  <c r="N351"/>
  <c r="M351"/>
  <c r="L351"/>
  <c r="N350"/>
  <c r="M350"/>
  <c r="L350"/>
  <c r="N349"/>
  <c r="M349"/>
  <c r="L349"/>
  <c r="N348"/>
  <c r="M348"/>
  <c r="L348"/>
  <c r="N347"/>
  <c r="M347"/>
  <c r="L347"/>
  <c r="N346"/>
  <c r="M346"/>
  <c r="L346"/>
  <c r="N345"/>
  <c r="M345"/>
  <c r="L345"/>
  <c r="N344"/>
  <c r="M344"/>
  <c r="L344"/>
  <c r="N343"/>
  <c r="M343"/>
  <c r="L343"/>
  <c r="N342"/>
  <c r="M342"/>
  <c r="L342"/>
  <c r="N341"/>
  <c r="M341"/>
  <c r="L341"/>
  <c r="N340"/>
  <c r="M340"/>
  <c r="L340"/>
  <c r="N339"/>
  <c r="M339"/>
  <c r="L339"/>
  <c r="N338"/>
  <c r="M338"/>
  <c r="L338"/>
  <c r="N337"/>
  <c r="M337"/>
  <c r="L337"/>
  <c r="N336"/>
  <c r="M336"/>
  <c r="L336"/>
  <c r="N335"/>
  <c r="M335"/>
  <c r="L335"/>
  <c r="N334"/>
  <c r="M334"/>
  <c r="L334"/>
  <c r="N333"/>
  <c r="M333"/>
  <c r="L333"/>
  <c r="N332"/>
  <c r="M332"/>
  <c r="L332"/>
  <c r="N331"/>
  <c r="M331"/>
  <c r="L331"/>
  <c r="N330"/>
  <c r="M330"/>
  <c r="L330"/>
  <c r="N329"/>
  <c r="M329"/>
  <c r="L329"/>
  <c r="N328"/>
  <c r="M328"/>
  <c r="L328"/>
  <c r="N327"/>
  <c r="M327"/>
  <c r="L327"/>
  <c r="N326"/>
  <c r="M326"/>
  <c r="L326"/>
  <c r="N325"/>
  <c r="M325"/>
  <c r="L325"/>
  <c r="N324"/>
  <c r="M324"/>
  <c r="L324"/>
  <c r="N323"/>
  <c r="M323"/>
  <c r="L323"/>
  <c r="N322"/>
  <c r="M322"/>
  <c r="L322"/>
  <c r="N321"/>
  <c r="M321"/>
  <c r="L321"/>
  <c r="N320"/>
  <c r="M320"/>
  <c r="L320"/>
  <c r="N319"/>
  <c r="M319"/>
  <c r="L319"/>
  <c r="N318"/>
  <c r="M318"/>
  <c r="L318"/>
  <c r="N317"/>
  <c r="M317"/>
  <c r="L317"/>
  <c r="N316"/>
  <c r="M316"/>
  <c r="L316"/>
  <c r="N315"/>
  <c r="M315"/>
  <c r="L315"/>
  <c r="N314"/>
  <c r="M314"/>
  <c r="L314"/>
  <c r="N313"/>
  <c r="M313"/>
  <c r="L313"/>
  <c r="N312"/>
  <c r="M312"/>
  <c r="L312"/>
  <c r="N311"/>
  <c r="M311"/>
  <c r="L311"/>
  <c r="N310"/>
  <c r="M310"/>
  <c r="L310"/>
  <c r="N309"/>
  <c r="M309"/>
  <c r="L309"/>
  <c r="N308"/>
  <c r="M308"/>
  <c r="L308"/>
  <c r="N307"/>
  <c r="M307"/>
  <c r="L307"/>
  <c r="N306"/>
  <c r="M306"/>
  <c r="L306"/>
  <c r="N305"/>
  <c r="M305"/>
  <c r="L305"/>
  <c r="N304"/>
  <c r="M304"/>
  <c r="L304"/>
  <c r="N303"/>
  <c r="M303"/>
  <c r="L303"/>
  <c r="N302"/>
  <c r="M302"/>
  <c r="L302"/>
  <c r="N301"/>
  <c r="M301"/>
  <c r="L301"/>
  <c r="N300"/>
  <c r="M300"/>
  <c r="L300"/>
  <c r="N299"/>
  <c r="M299"/>
  <c r="L299"/>
  <c r="N298"/>
  <c r="M298"/>
  <c r="L298"/>
  <c r="N297"/>
  <c r="M297"/>
  <c r="L297"/>
  <c r="N296"/>
  <c r="M296"/>
  <c r="L296"/>
  <c r="N295"/>
  <c r="M295"/>
  <c r="L295"/>
  <c r="N294"/>
  <c r="M294"/>
  <c r="L294"/>
  <c r="N293"/>
  <c r="M293"/>
  <c r="L293"/>
  <c r="N292"/>
  <c r="M292"/>
  <c r="L292"/>
  <c r="N291"/>
  <c r="M291"/>
  <c r="L291"/>
  <c r="N290"/>
  <c r="M290"/>
  <c r="L290"/>
  <c r="N289"/>
  <c r="M289"/>
  <c r="L289"/>
  <c r="N288"/>
  <c r="M288"/>
  <c r="L288"/>
  <c r="N287"/>
  <c r="M287"/>
  <c r="L287"/>
  <c r="N286"/>
  <c r="M286"/>
  <c r="L286"/>
  <c r="N285"/>
  <c r="M285"/>
  <c r="L285"/>
  <c r="N284"/>
  <c r="M284"/>
  <c r="L284"/>
  <c r="N283"/>
  <c r="M283"/>
  <c r="L283"/>
  <c r="N282"/>
  <c r="M282"/>
  <c r="L282"/>
  <c r="N281"/>
  <c r="M281"/>
  <c r="L281"/>
  <c r="N280"/>
  <c r="M280"/>
  <c r="L280"/>
  <c r="N279"/>
  <c r="M279"/>
  <c r="L279"/>
  <c r="N278"/>
  <c r="M278"/>
  <c r="L278"/>
  <c r="N277"/>
  <c r="M277"/>
  <c r="L277"/>
  <c r="N276"/>
  <c r="M276"/>
  <c r="L276"/>
  <c r="N275"/>
  <c r="M275"/>
  <c r="L275"/>
  <c r="N274"/>
  <c r="M274"/>
  <c r="L274"/>
  <c r="N273"/>
  <c r="M273"/>
  <c r="L273"/>
  <c r="N272"/>
  <c r="M272"/>
  <c r="L272"/>
  <c r="N271"/>
  <c r="M271"/>
  <c r="L271"/>
  <c r="N270"/>
  <c r="M270"/>
  <c r="L270"/>
  <c r="N269"/>
  <c r="M269"/>
  <c r="L269"/>
  <c r="N268"/>
  <c r="M268"/>
  <c r="L268"/>
  <c r="N267"/>
  <c r="M267"/>
  <c r="L267"/>
  <c r="N266"/>
  <c r="M266"/>
  <c r="L266"/>
  <c r="N265"/>
  <c r="M265"/>
  <c r="L265"/>
  <c r="N264"/>
  <c r="M264"/>
  <c r="L264"/>
  <c r="N263"/>
  <c r="M263"/>
  <c r="L263"/>
  <c r="N262"/>
  <c r="M262"/>
  <c r="L262"/>
  <c r="N261"/>
  <c r="M261"/>
  <c r="L261"/>
  <c r="N260"/>
  <c r="M260"/>
  <c r="L260"/>
  <c r="N259"/>
  <c r="M259"/>
  <c r="L259"/>
  <c r="N258"/>
  <c r="M258"/>
  <c r="L258"/>
  <c r="N257"/>
  <c r="M257"/>
  <c r="L257"/>
  <c r="N256"/>
  <c r="M256"/>
  <c r="L256"/>
  <c r="N255"/>
  <c r="M255"/>
  <c r="L255"/>
  <c r="N254"/>
  <c r="M254"/>
  <c r="L254"/>
  <c r="N253"/>
  <c r="M253"/>
  <c r="L253"/>
  <c r="N252"/>
  <c r="M252"/>
  <c r="L252"/>
  <c r="N251"/>
  <c r="M251"/>
  <c r="L251"/>
  <c r="N250"/>
  <c r="M250"/>
  <c r="L250"/>
  <c r="N249"/>
  <c r="M249"/>
  <c r="L249"/>
  <c r="N248"/>
  <c r="M248"/>
  <c r="L248"/>
  <c r="N247"/>
  <c r="M247"/>
  <c r="L247"/>
  <c r="N246"/>
  <c r="M246"/>
  <c r="L246"/>
  <c r="N245"/>
  <c r="M245"/>
  <c r="L245"/>
  <c r="N244"/>
  <c r="M244"/>
  <c r="L244"/>
  <c r="N243"/>
  <c r="M243"/>
  <c r="L243"/>
  <c r="N242"/>
  <c r="M242"/>
  <c r="L242"/>
  <c r="N241"/>
  <c r="M241"/>
  <c r="L241"/>
  <c r="N240"/>
  <c r="M240"/>
  <c r="L240"/>
  <c r="N239"/>
  <c r="M239"/>
  <c r="L239"/>
  <c r="N238"/>
  <c r="M238"/>
  <c r="L238"/>
  <c r="N237"/>
  <c r="M237"/>
  <c r="L237"/>
  <c r="N236"/>
  <c r="M236"/>
  <c r="L236"/>
  <c r="N235"/>
  <c r="M235"/>
  <c r="L235"/>
  <c r="N234"/>
  <c r="M234"/>
  <c r="L234"/>
  <c r="N233"/>
  <c r="M233"/>
  <c r="L233"/>
  <c r="N232"/>
  <c r="M232"/>
  <c r="L232"/>
  <c r="N231"/>
  <c r="M231"/>
  <c r="L231"/>
  <c r="N230"/>
  <c r="M230"/>
  <c r="L230"/>
  <c r="N229"/>
  <c r="M229"/>
  <c r="L229"/>
  <c r="N228"/>
  <c r="M228"/>
  <c r="L228"/>
  <c r="N227"/>
  <c r="M227"/>
  <c r="L227"/>
  <c r="N226"/>
  <c r="M226"/>
  <c r="L226"/>
  <c r="N225"/>
  <c r="M225"/>
  <c r="L225"/>
  <c r="N224"/>
  <c r="M224"/>
  <c r="L224"/>
  <c r="N223"/>
  <c r="M223"/>
  <c r="L223"/>
  <c r="N222"/>
  <c r="M222"/>
  <c r="L222"/>
  <c r="N221"/>
  <c r="M221"/>
  <c r="L221"/>
  <c r="N220"/>
  <c r="M220"/>
  <c r="L220"/>
  <c r="N219"/>
  <c r="M219"/>
  <c r="L219"/>
  <c r="N218"/>
  <c r="M218"/>
  <c r="L218"/>
  <c r="N217"/>
  <c r="M217"/>
  <c r="L217"/>
  <c r="N216"/>
  <c r="M216"/>
  <c r="L216"/>
  <c r="N215"/>
  <c r="M215"/>
  <c r="L215"/>
  <c r="N214"/>
  <c r="M214"/>
  <c r="L214"/>
  <c r="N213"/>
  <c r="M213"/>
  <c r="L213"/>
  <c r="N212"/>
  <c r="M212"/>
  <c r="L212"/>
  <c r="N211"/>
  <c r="M211"/>
  <c r="L211"/>
  <c r="N210"/>
  <c r="M210"/>
  <c r="L210"/>
  <c r="N209"/>
  <c r="M209"/>
  <c r="L209"/>
  <c r="N208"/>
  <c r="M208"/>
  <c r="L208"/>
  <c r="N207"/>
  <c r="M207"/>
  <c r="L207"/>
  <c r="N206"/>
  <c r="M206"/>
  <c r="L206"/>
  <c r="N205"/>
  <c r="M205"/>
  <c r="L205"/>
  <c r="N204"/>
  <c r="M204"/>
  <c r="L204"/>
  <c r="N203"/>
  <c r="M203"/>
  <c r="L203"/>
  <c r="N202"/>
  <c r="M202"/>
  <c r="L202"/>
  <c r="N201"/>
  <c r="M201"/>
  <c r="L201"/>
  <c r="N200"/>
  <c r="M200"/>
  <c r="L200"/>
  <c r="N199"/>
  <c r="M199"/>
  <c r="L199"/>
  <c r="N198"/>
  <c r="M198"/>
  <c r="L198"/>
  <c r="N197"/>
  <c r="M197"/>
  <c r="L197"/>
  <c r="N196"/>
  <c r="M196"/>
  <c r="L196"/>
  <c r="N195"/>
  <c r="M195"/>
  <c r="L195"/>
  <c r="N194"/>
  <c r="M194"/>
  <c r="L194"/>
  <c r="N193"/>
  <c r="M193"/>
  <c r="L193"/>
  <c r="N192"/>
  <c r="M192"/>
  <c r="L192"/>
  <c r="N191"/>
  <c r="M191"/>
  <c r="L191"/>
  <c r="N190"/>
  <c r="M190"/>
  <c r="L190"/>
  <c r="N189"/>
  <c r="M189"/>
  <c r="L189"/>
  <c r="N188"/>
  <c r="M188"/>
  <c r="L188"/>
  <c r="N187"/>
  <c r="M187"/>
  <c r="L187"/>
  <c r="N186"/>
  <c r="M186"/>
  <c r="L186"/>
  <c r="N185"/>
  <c r="M185"/>
  <c r="L185"/>
  <c r="N184"/>
  <c r="M184"/>
  <c r="L184"/>
  <c r="N183"/>
  <c r="M183"/>
  <c r="L183"/>
  <c r="N182"/>
  <c r="M182"/>
  <c r="L182"/>
  <c r="N181"/>
  <c r="M181"/>
  <c r="L181"/>
  <c r="N180"/>
  <c r="M180"/>
  <c r="L180"/>
  <c r="N179"/>
  <c r="M179"/>
  <c r="L179"/>
  <c r="N178"/>
  <c r="M178"/>
  <c r="L178"/>
  <c r="N177"/>
  <c r="M177"/>
  <c r="L177"/>
  <c r="N176"/>
  <c r="M176"/>
  <c r="L176"/>
  <c r="N175"/>
  <c r="M175"/>
  <c r="L175"/>
  <c r="N174"/>
  <c r="M174"/>
  <c r="L174"/>
  <c r="N173"/>
  <c r="M173"/>
  <c r="L173"/>
  <c r="N172"/>
  <c r="M172"/>
  <c r="L172"/>
  <c r="N171"/>
  <c r="M171"/>
  <c r="L171"/>
  <c r="N170"/>
  <c r="M170"/>
  <c r="L170"/>
  <c r="N169"/>
  <c r="M169"/>
  <c r="L169"/>
  <c r="N168"/>
  <c r="M168"/>
  <c r="L168"/>
  <c r="N167"/>
  <c r="M167"/>
  <c r="L167"/>
  <c r="N166"/>
  <c r="M166"/>
  <c r="L166"/>
  <c r="N165"/>
  <c r="M165"/>
  <c r="L165"/>
  <c r="N164"/>
  <c r="M164"/>
  <c r="L164"/>
  <c r="N163"/>
  <c r="M163"/>
  <c r="L163"/>
  <c r="N162"/>
  <c r="M162"/>
  <c r="L162"/>
  <c r="N161"/>
  <c r="M161"/>
  <c r="L161"/>
  <c r="N160"/>
  <c r="M160"/>
  <c r="L160"/>
  <c r="N159"/>
  <c r="M159"/>
  <c r="L159"/>
  <c r="N158"/>
  <c r="M158"/>
  <c r="L158"/>
  <c r="N157"/>
  <c r="M157"/>
  <c r="L157"/>
  <c r="N156"/>
  <c r="M156"/>
  <c r="L156"/>
  <c r="N155"/>
  <c r="M155"/>
  <c r="L155"/>
  <c r="N154"/>
  <c r="M154"/>
  <c r="L154"/>
  <c r="N153"/>
  <c r="M153"/>
  <c r="L153"/>
  <c r="N152"/>
  <c r="M152"/>
  <c r="L152"/>
  <c r="N151"/>
  <c r="M151"/>
  <c r="L151"/>
  <c r="N150"/>
  <c r="M150"/>
  <c r="L150"/>
  <c r="N149"/>
  <c r="M149"/>
  <c r="L149"/>
  <c r="N148"/>
  <c r="M148"/>
  <c r="L148"/>
  <c r="N147"/>
  <c r="M147"/>
  <c r="L147"/>
  <c r="N146"/>
  <c r="M146"/>
  <c r="L146"/>
  <c r="N145"/>
  <c r="M145"/>
  <c r="L145"/>
  <c r="N144"/>
  <c r="M144"/>
  <c r="L144"/>
  <c r="N143"/>
  <c r="M143"/>
  <c r="L143"/>
  <c r="N142"/>
  <c r="M142"/>
  <c r="L142"/>
  <c r="N141"/>
  <c r="M141"/>
  <c r="L141"/>
  <c r="N140"/>
  <c r="M140"/>
  <c r="L140"/>
  <c r="N139"/>
  <c r="M139"/>
  <c r="L139"/>
  <c r="N138"/>
  <c r="M138"/>
  <c r="L138"/>
  <c r="N137"/>
  <c r="M137"/>
  <c r="L137"/>
  <c r="N136"/>
  <c r="M136"/>
  <c r="L136"/>
  <c r="N135"/>
  <c r="M135"/>
  <c r="L135"/>
  <c r="N134"/>
  <c r="M134"/>
  <c r="L134"/>
  <c r="N133"/>
  <c r="M133"/>
  <c r="L133"/>
  <c r="N132"/>
  <c r="M132"/>
  <c r="L132"/>
  <c r="N131"/>
  <c r="M131"/>
  <c r="L131"/>
  <c r="N130"/>
  <c r="M130"/>
  <c r="L130"/>
  <c r="N129"/>
  <c r="M129"/>
  <c r="L129"/>
  <c r="N128"/>
  <c r="M128"/>
  <c r="L128"/>
  <c r="N127"/>
  <c r="M127"/>
  <c r="L127"/>
  <c r="N126"/>
  <c r="M126"/>
  <c r="L126"/>
  <c r="N125"/>
  <c r="M125"/>
  <c r="L125"/>
  <c r="N124"/>
  <c r="M124"/>
  <c r="L124"/>
  <c r="N123"/>
  <c r="M123"/>
  <c r="L123"/>
  <c r="N122"/>
  <c r="M122"/>
  <c r="L122"/>
  <c r="N121"/>
  <c r="M121"/>
  <c r="L121"/>
  <c r="N120"/>
  <c r="M120"/>
  <c r="L120"/>
  <c r="N119"/>
  <c r="M119"/>
  <c r="L119"/>
  <c r="N118"/>
  <c r="M118"/>
  <c r="L118"/>
  <c r="N117"/>
  <c r="M117"/>
  <c r="L117"/>
  <c r="N116"/>
  <c r="M116"/>
  <c r="L116"/>
  <c r="N115"/>
  <c r="M115"/>
  <c r="L115"/>
  <c r="N114"/>
  <c r="M114"/>
  <c r="L114"/>
  <c r="N113"/>
  <c r="M113"/>
  <c r="L113"/>
  <c r="N112"/>
  <c r="M112"/>
  <c r="L112"/>
  <c r="N111"/>
  <c r="M111"/>
  <c r="L111"/>
  <c r="N110"/>
  <c r="M110"/>
  <c r="L110"/>
  <c r="N109"/>
  <c r="M109"/>
  <c r="L109"/>
  <c r="N108"/>
  <c r="M108"/>
  <c r="L108"/>
  <c r="N107"/>
  <c r="M107"/>
  <c r="L107"/>
  <c r="N106"/>
  <c r="M106"/>
  <c r="L106"/>
  <c r="N105"/>
  <c r="M105"/>
  <c r="L105"/>
  <c r="N104"/>
  <c r="M104"/>
  <c r="L104"/>
  <c r="N103"/>
  <c r="M103"/>
  <c r="L103"/>
  <c r="N102"/>
  <c r="M102"/>
  <c r="L102"/>
  <c r="N101"/>
  <c r="M101"/>
  <c r="L101"/>
  <c r="N100"/>
  <c r="M100"/>
  <c r="L100"/>
  <c r="N99"/>
  <c r="M99"/>
  <c r="L99"/>
  <c r="N98"/>
  <c r="M98"/>
  <c r="L98"/>
  <c r="N97"/>
  <c r="M97"/>
  <c r="L97"/>
  <c r="N96"/>
  <c r="M96"/>
  <c r="L96"/>
  <c r="N95"/>
  <c r="M95"/>
  <c r="L95"/>
  <c r="N94"/>
  <c r="M94"/>
  <c r="L94"/>
  <c r="N93"/>
  <c r="M93"/>
  <c r="L93"/>
  <c r="N92"/>
  <c r="M92"/>
  <c r="L92"/>
  <c r="N91"/>
  <c r="M91"/>
  <c r="L91"/>
  <c r="N90"/>
  <c r="M90"/>
  <c r="L90"/>
  <c r="N89"/>
  <c r="M89"/>
  <c r="L89"/>
  <c r="N88"/>
  <c r="M88"/>
  <c r="L88"/>
  <c r="N87"/>
  <c r="M87"/>
  <c r="L87"/>
  <c r="N86"/>
  <c r="M86"/>
  <c r="L86"/>
  <c r="N85"/>
  <c r="M85"/>
  <c r="L85"/>
  <c r="N84"/>
  <c r="M84"/>
  <c r="L84"/>
  <c r="N83"/>
  <c r="M83"/>
  <c r="L83"/>
  <c r="N82"/>
  <c r="M82"/>
  <c r="L82"/>
  <c r="N81"/>
  <c r="M81"/>
  <c r="L81"/>
  <c r="N80"/>
  <c r="M80"/>
  <c r="L80"/>
  <c r="N79"/>
  <c r="M79"/>
  <c r="L79"/>
  <c r="N78"/>
  <c r="M78"/>
  <c r="L78"/>
  <c r="N77"/>
  <c r="M77"/>
  <c r="L77"/>
  <c r="N76"/>
  <c r="M76"/>
  <c r="L76"/>
  <c r="N75"/>
  <c r="M75"/>
  <c r="L75"/>
  <c r="N74"/>
  <c r="M74"/>
  <c r="L74"/>
  <c r="N73"/>
  <c r="M73"/>
  <c r="L73"/>
  <c r="N72"/>
  <c r="M72"/>
  <c r="L72"/>
  <c r="N71"/>
  <c r="M71"/>
  <c r="L71"/>
  <c r="N70"/>
  <c r="M70"/>
  <c r="L70"/>
  <c r="N69"/>
  <c r="M69"/>
  <c r="L69"/>
  <c r="N68"/>
  <c r="M68"/>
  <c r="L68"/>
  <c r="N67"/>
  <c r="M67"/>
  <c r="L67"/>
  <c r="N66"/>
  <c r="M66"/>
  <c r="L66"/>
  <c r="N65"/>
  <c r="M65"/>
  <c r="L65"/>
  <c r="N64"/>
  <c r="M64"/>
  <c r="L64"/>
  <c r="N63"/>
  <c r="M63"/>
  <c r="L63"/>
  <c r="N62"/>
  <c r="M62"/>
  <c r="L62"/>
  <c r="N61"/>
  <c r="M61"/>
  <c r="L61"/>
  <c r="N60"/>
  <c r="M60"/>
  <c r="L60"/>
  <c r="N59"/>
  <c r="M59"/>
  <c r="L59"/>
  <c r="N58"/>
  <c r="M58"/>
  <c r="L58"/>
  <c r="N57"/>
  <c r="M57"/>
  <c r="L57"/>
  <c r="N56"/>
  <c r="M56"/>
  <c r="L56"/>
  <c r="N55"/>
  <c r="M55"/>
  <c r="L55"/>
  <c r="N54"/>
  <c r="M54"/>
  <c r="L54"/>
  <c r="N53"/>
  <c r="M53"/>
  <c r="L53"/>
  <c r="N52"/>
  <c r="M52"/>
  <c r="L52"/>
  <c r="N51"/>
  <c r="M51"/>
  <c r="L51"/>
  <c r="N50"/>
  <c r="M50"/>
  <c r="L50"/>
  <c r="N49"/>
  <c r="M49"/>
  <c r="L49"/>
  <c r="N48"/>
  <c r="M48"/>
  <c r="L48"/>
  <c r="N47"/>
  <c r="M47"/>
  <c r="L47"/>
  <c r="N46"/>
  <c r="M46"/>
  <c r="L46"/>
  <c r="N45"/>
  <c r="M45"/>
  <c r="L45"/>
  <c r="N44"/>
  <c r="M44"/>
  <c r="L44"/>
  <c r="N43"/>
  <c r="M43"/>
  <c r="L43"/>
  <c r="N42"/>
  <c r="M42"/>
  <c r="L42"/>
  <c r="N41"/>
  <c r="M41"/>
  <c r="L41"/>
  <c r="N40"/>
  <c r="M40"/>
  <c r="L40"/>
  <c r="N39"/>
  <c r="M39"/>
  <c r="L39"/>
  <c r="N38"/>
  <c r="M38"/>
  <c r="L38"/>
  <c r="N37"/>
  <c r="M37"/>
  <c r="L37"/>
  <c r="N36"/>
  <c r="M36"/>
  <c r="L36"/>
  <c r="N35"/>
  <c r="M35"/>
  <c r="L35"/>
  <c r="N34"/>
  <c r="M34"/>
  <c r="L34"/>
  <c r="N33"/>
  <c r="M33"/>
  <c r="L33"/>
  <c r="N32"/>
  <c r="M32"/>
  <c r="L32"/>
  <c r="N31"/>
  <c r="M31"/>
  <c r="L31"/>
  <c r="N30"/>
  <c r="M30"/>
  <c r="L30"/>
  <c r="N29"/>
  <c r="M29"/>
  <c r="L29"/>
  <c r="N28"/>
  <c r="M28"/>
  <c r="L28"/>
  <c r="N27"/>
  <c r="M27"/>
  <c r="L27"/>
  <c r="N26"/>
  <c r="M26"/>
  <c r="L26"/>
  <c r="N25"/>
  <c r="M25"/>
  <c r="L25"/>
  <c r="N24"/>
  <c r="M24"/>
  <c r="L24"/>
  <c r="N23"/>
  <c r="M23"/>
  <c r="L23"/>
  <c r="N22"/>
  <c r="M22"/>
  <c r="L22"/>
  <c r="N21"/>
  <c r="M21"/>
  <c r="L21"/>
  <c r="N20"/>
  <c r="M20"/>
  <c r="L20"/>
  <c r="N19"/>
  <c r="M19"/>
  <c r="L19"/>
  <c r="N18"/>
  <c r="M18"/>
  <c r="L18"/>
  <c r="N17"/>
  <c r="M17"/>
  <c r="L17"/>
  <c r="N16"/>
  <c r="M16"/>
  <c r="L16"/>
  <c r="N15"/>
  <c r="M15"/>
  <c r="L15"/>
  <c r="N14"/>
  <c r="M14"/>
  <c r="L14"/>
  <c r="N13"/>
  <c r="M13"/>
  <c r="L13"/>
  <c r="N12"/>
  <c r="M12"/>
  <c r="L12"/>
  <c r="N11"/>
  <c r="M11"/>
  <c r="L11"/>
  <c r="N10"/>
  <c r="M10"/>
  <c r="L10"/>
  <c r="N9"/>
  <c r="M9"/>
  <c r="L9"/>
  <c r="N8"/>
  <c r="M8"/>
  <c r="L8"/>
  <c r="N7"/>
  <c r="M7"/>
  <c r="L7"/>
  <c r="N6"/>
  <c r="M6"/>
  <c r="L6"/>
  <c r="N5"/>
  <c r="M5"/>
  <c r="L5"/>
  <c r="N4"/>
  <c r="M4"/>
  <c r="L4"/>
  <c r="N3"/>
  <c r="M3"/>
  <c r="L3"/>
  <c r="N2"/>
  <c r="M2"/>
  <c r="L2"/>
  <c r="D2" i="7"/>
</calcChain>
</file>

<file path=xl/sharedStrings.xml><?xml version="1.0" encoding="utf-8"?>
<sst xmlns="http://schemas.openxmlformats.org/spreadsheetml/2006/main" count="7254" uniqueCount="1377">
  <si>
    <t>Adg_Time</t>
  </si>
  <si>
    <t>Gap_Secs</t>
  </si>
  <si>
    <t>Spmd_id</t>
  </si>
  <si>
    <t>BD</t>
  </si>
  <si>
    <t>P7</t>
  </si>
  <si>
    <t>RC</t>
  </si>
  <si>
    <t>C1</t>
  </si>
  <si>
    <t>LO</t>
  </si>
  <si>
    <t>CP</t>
  </si>
  <si>
    <t>PC</t>
  </si>
  <si>
    <t>BC</t>
  </si>
  <si>
    <t>Assg_id</t>
  </si>
  <si>
    <t>WH</t>
  </si>
  <si>
    <t>Rptg_id</t>
  </si>
  <si>
    <t>Asgt_id</t>
  </si>
  <si>
    <t>Asta_id</t>
  </si>
  <si>
    <t>Assoc_id</t>
  </si>
  <si>
    <t>Fname</t>
  </si>
  <si>
    <t>Lname</t>
  </si>
  <si>
    <t>Act_time</t>
  </si>
  <si>
    <t>Std_time</t>
  </si>
  <si>
    <t>Start_time</t>
  </si>
  <si>
    <t>End_time</t>
  </si>
  <si>
    <t>Picks</t>
  </si>
  <si>
    <t>Shorts</t>
  </si>
  <si>
    <t>Jcfn_id</t>
  </si>
  <si>
    <t>Jcfs_id</t>
  </si>
  <si>
    <t>Last_sect_id</t>
  </si>
  <si>
    <t>Wust_id</t>
  </si>
  <si>
    <t>Rpln_mthd</t>
  </si>
  <si>
    <t>Lhty_id</t>
  </si>
  <si>
    <t>Prod_id</t>
  </si>
  <si>
    <t>Cases</t>
  </si>
  <si>
    <t>Route</t>
  </si>
  <si>
    <t>Customer</t>
  </si>
  <si>
    <t>Close_time</t>
  </si>
  <si>
    <t>Close_name</t>
  </si>
  <si>
    <t>OS</t>
  </si>
  <si>
    <t>DC</t>
  </si>
  <si>
    <t>CR</t>
  </si>
  <si>
    <t>EC</t>
  </si>
  <si>
    <t>OT</t>
  </si>
  <si>
    <t>F2</t>
  </si>
  <si>
    <t>OC</t>
  </si>
  <si>
    <t>OL</t>
  </si>
  <si>
    <t>Plt_Spc</t>
  </si>
  <si>
    <t>Lp_cnt</t>
  </si>
  <si>
    <t>Rec_name</t>
  </si>
  <si>
    <t>Rec_verify_time</t>
  </si>
  <si>
    <t>Rec_pallets</t>
  </si>
  <si>
    <t>Rec_Cases</t>
  </si>
  <si>
    <t>Name</t>
  </si>
  <si>
    <t>Job</t>
  </si>
  <si>
    <t>Site Cost Paid*</t>
  </si>
  <si>
    <t>TOIL Picnic Day - Taken*</t>
  </si>
  <si>
    <t>TOIL Public Holiday - Taken*</t>
  </si>
  <si>
    <t>1 Set Date</t>
  </si>
  <si>
    <t>2 Paste WMS data into wms_day</t>
  </si>
  <si>
    <t>3 Save 990 - Staffing Sheet report into /reports folder as Staffing_Sheet.xls</t>
  </si>
  <si>
    <t>Potted Outdoor Med V3 81EA</t>
  </si>
  <si>
    <t>G/L Potted Vegetable Sml</t>
  </si>
  <si>
    <t>G/L Potted Vegetable Small 144ea</t>
  </si>
  <si>
    <t>G/L Potted Tree Small Pdq 49ea</t>
  </si>
  <si>
    <t>C/H display material</t>
  </si>
  <si>
    <t>C/H Potted Palm G/Cane Md</t>
  </si>
  <si>
    <t>Potted Palm G/Cane Md 36EA</t>
  </si>
  <si>
    <t>F/F Bouq Floral 8ea</t>
  </si>
  <si>
    <t>F/F Bouq Classic 4ea</t>
  </si>
  <si>
    <t>G/L Potted Bird Of Paradise 36ea</t>
  </si>
  <si>
    <t>F/F Arrangement Gifts</t>
  </si>
  <si>
    <t>Fresh Flower Arrangement Gifts 1ea</t>
  </si>
  <si>
    <t>C/H Potted Colour Bowl 36ea</t>
  </si>
  <si>
    <t>C/H Potted Hedging Plant</t>
  </si>
  <si>
    <t>C/H Potted Hedging 36ea</t>
  </si>
  <si>
    <t>C/H Potted Buxus Small</t>
  </si>
  <si>
    <t>F/F Bch Oriental Lilies 12ea</t>
  </si>
  <si>
    <t>Clover Hill Clover Hill Potted Camelia Medium 1ea</t>
  </si>
  <si>
    <t>Outdoor Flower Sml Pdq V1</t>
  </si>
  <si>
    <t>C/H Potted Gerbera Small Pdq 144ea</t>
  </si>
  <si>
    <t>C/H Potted Buxus Pdq</t>
  </si>
  <si>
    <t>Pot Shrub Flowering Pdq</t>
  </si>
  <si>
    <t>Potted Outdoor Flower Lge V1 42EA</t>
  </si>
  <si>
    <t>Seasonal Mix Pdq</t>
  </si>
  <si>
    <t>G/L Potted Daisy Large Pdq 90ea</t>
  </si>
  <si>
    <t>Outdoor Flowermed Pdq V1</t>
  </si>
  <si>
    <t>C/H Potted Colour Pdq</t>
  </si>
  <si>
    <t>C/H Potted Floweringpdq 36ea</t>
  </si>
  <si>
    <t>Potted Bulb Lillium</t>
  </si>
  <si>
    <t>C/H Potted Petunia Pdq</t>
  </si>
  <si>
    <t>C/H Pottd Poinstta Luxpdq</t>
  </si>
  <si>
    <t>C/H Pottd Hydrgea Med Pdq</t>
  </si>
  <si>
    <t>C/H Potted Chrys Sm Pdq</t>
  </si>
  <si>
    <t>F/F Floral PDQ 1 1ea</t>
  </si>
  <si>
    <t>F/F FLORAL PDQ 2 96ea</t>
  </si>
  <si>
    <t>Xmas Rainbow Pallets2014 Pallet 101</t>
  </si>
  <si>
    <t>Xmas Rainbow Pallets2014 Pallet 102</t>
  </si>
  <si>
    <t>Xmas Rainbow Pallets2014 Pallet 126</t>
  </si>
  <si>
    <t>Xmas Rainbow Pallets2014 Pallet 127</t>
  </si>
  <si>
    <t>Xmas Rainbow Pallets2014 Pallet 128</t>
  </si>
  <si>
    <t>Xmas Rainbow Pallets2014 Pallet 103</t>
  </si>
  <si>
    <t>Xmas Rainbow Pallets2014 Pallet 104</t>
  </si>
  <si>
    <t>Xmas Rainbow Pallets2014 Pallet 105</t>
  </si>
  <si>
    <t>Xmas Rainbow Pallets2014 Pallet 106</t>
  </si>
  <si>
    <t>Xmas Rainbow Pallets2014 Pallet 129</t>
  </si>
  <si>
    <t>Xmas Rainbow Pallets2014 Pallet 130</t>
  </si>
  <si>
    <t>Xmas Rainbow Pallets2014 Pallet 131</t>
  </si>
  <si>
    <t>Xmas Rainbow Pallets2014 Pallet 176</t>
  </si>
  <si>
    <t>Xmas Rainbow Pallets2014 Pallet 177</t>
  </si>
  <si>
    <t>Ajax Professional 4 Way Bin</t>
  </si>
  <si>
    <t>Potted Hibiscus PDQ 64ea</t>
  </si>
  <si>
    <t>QP 2X540G FAV 1X320GFAV 1X225G ROSES</t>
  </si>
  <si>
    <t>Glade Wax Melts Oct Rainbow Display</t>
  </si>
  <si>
    <t>Mortein North Prepack Display</t>
  </si>
  <si>
    <t>Mortein South Prepack Display</t>
  </si>
  <si>
    <t>Vileda 4 Way Rainbow Pallet Dsp</t>
  </si>
  <si>
    <t>Hs Shm Plus Con Prepack Apple Fresh</t>
  </si>
  <si>
    <t>Ptn Shm Plus Con Prepack Ultimate 10</t>
  </si>
  <si>
    <t>Select Soda Water 1.25L Dpallet</t>
  </si>
  <si>
    <t>Slct Min Wtr Sprklng1.25L Dpallet</t>
  </si>
  <si>
    <t>Ferrero Xmas Prepack</t>
  </si>
  <si>
    <t>G/L Potted Strawbrry Bowls 20ea</t>
  </si>
  <si>
    <t>C/H Potted Rose Med 42ea</t>
  </si>
  <si>
    <t>C/H Orchid Carton Display Unit 2ea</t>
  </si>
  <si>
    <t>RRD Thai Chilli&amp;LimePallet Drop Display</t>
  </si>
  <si>
    <t>MIX4WAY WW XMAS 2014</t>
  </si>
  <si>
    <t>Airwick Rare PDQ Pallet Display</t>
  </si>
  <si>
    <t>BTW/BTS Front ENDPDQ</t>
  </si>
  <si>
    <t>Ww Xmas Nobbys Full Pallet 2014 Prepack</t>
  </si>
  <si>
    <t>Ww Xmas Nobbys Half Pallet 2014 Prepack</t>
  </si>
  <si>
    <t>C/H Potted Hydrangeasmall 64ea</t>
  </si>
  <si>
    <t>C/H Gift Potted Kale 144ea</t>
  </si>
  <si>
    <t>Ww Doritos Pallet Display</t>
  </si>
  <si>
    <t>WW Eastr Early SelrsHalf PDQ Display</t>
  </si>
  <si>
    <t>WW Easter Hen Half PDQ Display</t>
  </si>
  <si>
    <t>WW Lindt GiftingHalfPDQ Display</t>
  </si>
  <si>
    <t>PIN</t>
  </si>
  <si>
    <t>Type</t>
  </si>
  <si>
    <t>Group</t>
  </si>
  <si>
    <t>Payroll No</t>
  </si>
  <si>
    <t>OT Start</t>
  </si>
  <si>
    <t>Start Time</t>
  </si>
  <si>
    <t>End Time</t>
  </si>
  <si>
    <t>OT End</t>
  </si>
  <si>
    <t>Hours</t>
  </si>
  <si>
    <t>WW March 2015 PDQ Display</t>
  </si>
  <si>
    <t>DickiesBoxingDay PDQFull Pallet Display</t>
  </si>
  <si>
    <t>Dickies Boxing Day PDF Half PalletDsply</t>
  </si>
  <si>
    <t>2015 Spc Back To School Pallets</t>
  </si>
  <si>
    <t>Finish CIY Prepack Display</t>
  </si>
  <si>
    <t>Mix4way Ww Easter 2015 Display</t>
  </si>
  <si>
    <t>Seasonal Mix Pdq 80ea</t>
  </si>
  <si>
    <t>Seasonal Mix PDQ 8.00 80ea</t>
  </si>
  <si>
    <t>G/L Poted FrangipaniLge Pdq 36ea</t>
  </si>
  <si>
    <t>G/L Potted FloweringShrub Lge Pdq 36Ea</t>
  </si>
  <si>
    <t>Pear William Bartlett 200kg</t>
  </si>
  <si>
    <t>Pumpkin Jarrahdle Whl Kg 200KG</t>
  </si>
  <si>
    <t>Pumpkin Kent Whole Kg 200kg</t>
  </si>
  <si>
    <t>Tontine Supportive Pillow PDQ Display</t>
  </si>
  <si>
    <t>Windsors 150g Prepack Pallet</t>
  </si>
  <si>
    <t>G/L Potted Begonia Med Pdq 72ea</t>
  </si>
  <si>
    <t>G/L Potted Fern Tree Pdq 36ea</t>
  </si>
  <si>
    <t>Apple Red Delicious 180kg</t>
  </si>
  <si>
    <t>C/H Potted Gift Cyclamen 49ea</t>
  </si>
  <si>
    <t>Underworks Lds 4 Wy Winter Bins1 Display</t>
  </si>
  <si>
    <t>Underworks Lds 4 WayWinter Bins Display</t>
  </si>
  <si>
    <t>C/H Potted Rose Med Pdq 72ea</t>
  </si>
  <si>
    <t>A</t>
  </si>
  <si>
    <t>B</t>
  </si>
  <si>
    <t>Lhac_id</t>
  </si>
  <si>
    <t>C/H Potted Cycalmen Pdq</t>
  </si>
  <si>
    <t>C/H Potted Begona Elt Pdq</t>
  </si>
  <si>
    <t>Pot Indoor Plant Med Pdq</t>
  </si>
  <si>
    <t>C/H Potted Rose Pdq</t>
  </si>
  <si>
    <t>C/H Potted Rose Pdq 42ea</t>
  </si>
  <si>
    <t>C/H Potted Chrysanth Pdq</t>
  </si>
  <si>
    <t>C/H Potted Yucca Pdq 36ea</t>
  </si>
  <si>
    <t>C/H Potted Yucca Large</t>
  </si>
  <si>
    <t>C/H Potted Yucca Heads</t>
  </si>
  <si>
    <t>G/L Potted Indoor Pdq</t>
  </si>
  <si>
    <t>C/H Potted Shrub Large Pdq 36ea</t>
  </si>
  <si>
    <t>C/H Potted Outdoor Med</t>
  </si>
  <si>
    <t>F/F Bouq Colour</t>
  </si>
  <si>
    <t>C/H Potted Azalea PDQ</t>
  </si>
  <si>
    <t>Seasonal Mix Pdq 64ea</t>
  </si>
  <si>
    <t>G/L Potted Cordylinepdq 36ea</t>
  </si>
  <si>
    <t>Potted Outdoor Flowering Small 1ea</t>
  </si>
  <si>
    <t>G/L Potted Tree Pdq 81ea</t>
  </si>
  <si>
    <t>G/L Potted Strawberry Pdq</t>
  </si>
  <si>
    <t>Potted Strawberry 144ea</t>
  </si>
  <si>
    <t>C/H Pot Hedging Plantpdq</t>
  </si>
  <si>
    <t>C/H Potted Hedging Plant Pdq 81ea</t>
  </si>
  <si>
    <t>Seasonal Mix Pdq 72ea</t>
  </si>
  <si>
    <t>G/L Potted Tomatoes M Pdq</t>
  </si>
  <si>
    <t>G/L Potted Tree Small Pdq</t>
  </si>
  <si>
    <t>Potted Geraldton Wax Pdq</t>
  </si>
  <si>
    <t>G/L Potted Outdoor Pdq</t>
  </si>
  <si>
    <t>G/L Potted Cordyline Pdq</t>
  </si>
  <si>
    <t>Lindt Gold Bunny Mlkpdq Display Unit</t>
  </si>
  <si>
    <t>Pineapple Nat Sweet Baby 200ea</t>
  </si>
  <si>
    <t>C/H Potted Flower Pdq</t>
  </si>
  <si>
    <t>Potted Succulents 49EA</t>
  </si>
  <si>
    <t>C/H Potted Camelia Large</t>
  </si>
  <si>
    <t>Bch Chrysanthemum 12EA</t>
  </si>
  <si>
    <t>Cad Mix Pal Pdq Disp Unit</t>
  </si>
  <si>
    <t>F/F Bch Chrysanthemum Mix 12ea</t>
  </si>
  <si>
    <t>Bunch Asiatic Lillies Mix 12EA</t>
  </si>
  <si>
    <t>Fresh Flower Bouquet Wildflower 1ea</t>
  </si>
  <si>
    <t>F/F Bouq Christmas Native 6ea</t>
  </si>
  <si>
    <t>Ferrero Mixed Full PalPDQ</t>
  </si>
  <si>
    <t>T/Tower 13.7kg Display</t>
  </si>
  <si>
    <t>Potatoes 6kg</t>
  </si>
  <si>
    <t>Terrys Choc Orange Pp</t>
  </si>
  <si>
    <t>Xmas Full Pallet pp</t>
  </si>
  <si>
    <t>Nobbys Xmas Half Pallet prepack</t>
  </si>
  <si>
    <t>Tontine Im An AllrgyFriendly 2 Pack PP</t>
  </si>
  <si>
    <t>Huggies Baby Wipes 6x64 384 PK</t>
  </si>
  <si>
    <t>C/H Potted Lavender Large Pdq 42ea</t>
  </si>
  <si>
    <t>C/H Potted Herb Pdq</t>
  </si>
  <si>
    <t>Potted Kangaroopaw Pdq</t>
  </si>
  <si>
    <t>G/L Potted Tree Pdq</t>
  </si>
  <si>
    <t>C/H Potted Foliage Pdq</t>
  </si>
  <si>
    <t>C/H Potted Shrub Pdq</t>
  </si>
  <si>
    <t>C/H Potted Azalea Sm Pdq</t>
  </si>
  <si>
    <t>G/L Potted Daisy Lge Pdq</t>
  </si>
  <si>
    <t>C/H Potted Diosma Pdq 36ea</t>
  </si>
  <si>
    <t>Potted Outdoor Pdq</t>
  </si>
  <si>
    <t>Outdoor Flower Lge Pdq V1</t>
  </si>
  <si>
    <t>C/H Potted Fern B/Nest Md</t>
  </si>
  <si>
    <t>G/L Potted Fruit Tree Ass</t>
  </si>
  <si>
    <t>C/H Potted Camelia Medium</t>
  </si>
  <si>
    <t>C/H Potted Shrubs</t>
  </si>
  <si>
    <t>G/L Potted Geraldton Wax</t>
  </si>
  <si>
    <t>G/L Potted Lavender Med</t>
  </si>
  <si>
    <t>Outdoor Flower Lge V2</t>
  </si>
  <si>
    <t>C/H Potted Outdoor</t>
  </si>
  <si>
    <t>Potted Cordyline</t>
  </si>
  <si>
    <t>Potted Outdoor Plant V3</t>
  </si>
  <si>
    <t>Beetroot Bunch 1ea</t>
  </si>
  <si>
    <t>Pineapple 150ea</t>
  </si>
  <si>
    <t>G/L Potted Olive Tree Med</t>
  </si>
  <si>
    <t>G/L Potted Fruit Tree Std</t>
  </si>
  <si>
    <t>Onion Brown 10kg P/P</t>
  </si>
  <si>
    <t>G/L Potted Lavnder Pdq</t>
  </si>
  <si>
    <t>G/L Potted Daisy Large Pdq 81ea</t>
  </si>
  <si>
    <t>Potted Assorted Mix Med 36EA</t>
  </si>
  <si>
    <t>C/H Potted Flowering Pdq</t>
  </si>
  <si>
    <t>Silverbeet Bunch 1ea</t>
  </si>
  <si>
    <t>C/H Potted Yucca Medium</t>
  </si>
  <si>
    <t>C/H Potted Camelia Pdq 45ea</t>
  </si>
  <si>
    <t>C/H Potted Boronia Pdq</t>
  </si>
  <si>
    <t>Potted Garden Shrub Pdq</t>
  </si>
  <si>
    <t>G/L Pottd Shrurb Flow Pdq</t>
  </si>
  <si>
    <t>Pineapple Nat Sweet Baby 220ea</t>
  </si>
  <si>
    <t>C/H Potted Succulents Pdq</t>
  </si>
  <si>
    <t>F/F Bch Rose 10 Stem 10ea</t>
  </si>
  <si>
    <t>Orange Navel 3kg</t>
  </si>
  <si>
    <t>Orange Valencia 3kg</t>
  </si>
  <si>
    <t>Mandarin 1kg P/P 160ea</t>
  </si>
  <si>
    <t>Potatoes 6kg (NT)</t>
  </si>
  <si>
    <t>Pumpkin Halloween Kg 90kg</t>
  </si>
  <si>
    <t>G/L Potted Fruit Tree Lge</t>
  </si>
  <si>
    <t>Pot Outdoor Shrub Pdq V2</t>
  </si>
  <si>
    <t>G/L Potted Cordyline Sml</t>
  </si>
  <si>
    <t>SLCT SWEET CHILLI DIP200G</t>
  </si>
  <si>
    <t>Home Ess Plastic Storage Box 13L</t>
  </si>
  <si>
    <t>C/H Potted Black Bean Sml 6EA</t>
  </si>
  <si>
    <t>F/F Bch Mums Choice</t>
  </si>
  <si>
    <t>Lucky Bamboo Stem 70ea</t>
  </si>
  <si>
    <t>OPTIC WHITE HALF PALLET A</t>
  </si>
  <si>
    <t>OPTIC WHITE HALF PALLET B</t>
  </si>
  <si>
    <t>Easy Off Bam Active Foam 590g 50% Free</t>
  </si>
  <si>
    <t>Cold Power 7.5kg Prepack</t>
  </si>
  <si>
    <t>School Zone Rewards 115 Prepack</t>
  </si>
  <si>
    <t>Molokhia Bunch 50ea</t>
  </si>
  <si>
    <t>C/H Potted Chrys Med Pdq</t>
  </si>
  <si>
    <t>Scented Slipper And Thong</t>
  </si>
  <si>
    <t>Gold Kiwi Frt P/P 8pk</t>
  </si>
  <si>
    <t>CERAMIC COOKIE JAR 100G</t>
  </si>
  <si>
    <t>CERAMIC COOKIE JAR 200G</t>
  </si>
  <si>
    <t>PILLOW PETS MONSTERS</t>
  </si>
  <si>
    <t>Skylanders Half Pallet Display</t>
  </si>
  <si>
    <t>SKYLANDERS FLOORSTAND DIS</t>
  </si>
  <si>
    <t>Xmas Toy Rainbow Pallet 13</t>
  </si>
  <si>
    <t>Xmas Toy Rainbow Pallet 14 Display</t>
  </si>
  <si>
    <t>Xmas Toy Rainbow Pallet 15 Display</t>
  </si>
  <si>
    <t>Xmas Toy Rainbow Pallet 16 Display</t>
  </si>
  <si>
    <t>Xmas Toy Rainbow Pallet 17 Display</t>
  </si>
  <si>
    <t>Xmas Toy Rainbow Pallet 18 Display</t>
  </si>
  <si>
    <t>Christmas Decs Rainbow Pallet 1</t>
  </si>
  <si>
    <t>Christmas Decs Rainbow Pallet 2</t>
  </si>
  <si>
    <t>Christmas Decs Rainbow Pallet 3</t>
  </si>
  <si>
    <t>Christmas Decs Rainbow Pallet 4</t>
  </si>
  <si>
    <t>Christmas Decs Rainbow Pallet 5</t>
  </si>
  <si>
    <t>CHRISTMAS DECS RAINBOW</t>
  </si>
  <si>
    <t>Christmas Decs Rainbow Pallet 7</t>
  </si>
  <si>
    <t>Xmas Toy Rainbow Pallet 19 Display</t>
  </si>
  <si>
    <t>Xmas Toy Rainbow Pallet 20 Display</t>
  </si>
  <si>
    <t>Xmas Toy Rainbow Pallet 21 Display</t>
  </si>
  <si>
    <t>Xmas Toy Rainbow Pallet 22 Display</t>
  </si>
  <si>
    <t>Xmas Toy Rainbow Pallet 23 Display</t>
  </si>
  <si>
    <t>Xmas Toy Rainbow Pallet24</t>
  </si>
  <si>
    <t>Xmas Toy Rainbow Pallet25</t>
  </si>
  <si>
    <t>Xmas Toy Rainbow Pallet 26 Display</t>
  </si>
  <si>
    <t>Xmas Toy Rainbow Pallet 27 Display</t>
  </si>
  <si>
    <t>Xmas Toy Rainbow Pallet 28 Display</t>
  </si>
  <si>
    <t>Xmas Toy Rainbow Pallet 29 Display</t>
  </si>
  <si>
    <t>Xmas Toy Rainbow Pallet 30 Display</t>
  </si>
  <si>
    <t>Xmas Toy Rainbow Pallet 31 Display</t>
  </si>
  <si>
    <t>Xmas Toy Rainbow Pallet 32 Display</t>
  </si>
  <si>
    <t>Xmas Toy Rainbow Pallet 33 Display</t>
  </si>
  <si>
    <t>Xmas Toy Rainbow Pallet 34 Display</t>
  </si>
  <si>
    <t>Xmas Toy Rainbow Pallet 35 Display</t>
  </si>
  <si>
    <t>Xmas Toy Rainbow Pallet 36 Display</t>
  </si>
  <si>
    <t>Christmas Decs Rainbow Pallet 9</t>
  </si>
  <si>
    <t>Christmas Decs Rainbow Pallet 10</t>
  </si>
  <si>
    <t>Christmas Decs Rainbow Pallet 11</t>
  </si>
  <si>
    <t>Christmas Decs Rainbow Pallet 12</t>
  </si>
  <si>
    <t>Christmas Decs Rainbow Pallet 13</t>
  </si>
  <si>
    <t>Christmas Decs Rainbow Pallet 14</t>
  </si>
  <si>
    <t>Christmas Decs Rainbow Pallet 15</t>
  </si>
  <si>
    <t>Christmas Decs Rainbow Pallet 16</t>
  </si>
  <si>
    <t>Summer Toy Bin Prepack</t>
  </si>
  <si>
    <t>Christmas Decs Rainbow Pallet 17</t>
  </si>
  <si>
    <t>Christmas Decs Rainbow Pallet 18</t>
  </si>
  <si>
    <t>Christmas Decs Rainbow Pallet 19</t>
  </si>
  <si>
    <t>Christmas Decs Rainbow Pallet 20</t>
  </si>
  <si>
    <t>Christmas Decs Rainbow Pallet 21</t>
  </si>
  <si>
    <t>Christmas Decs Rainbow Pallet 22</t>
  </si>
  <si>
    <t>Christmas Decs Rainbow Pallet 23</t>
  </si>
  <si>
    <t>Christmas Decs Rainbow Pallet 24</t>
  </si>
  <si>
    <t>Christmas Decs Rainbow Pallet 25</t>
  </si>
  <si>
    <t>Christmas Decs Rainbow Pallet 26</t>
  </si>
  <si>
    <t>Christmas Decs Rainbow Pallet 27</t>
  </si>
  <si>
    <t>Christmas Decs Rainbow Pallet 28</t>
  </si>
  <si>
    <t>Christmas Decs Rainbow Pallet 29</t>
  </si>
  <si>
    <t>Christmas Decs Rainbow Pallet 30</t>
  </si>
  <si>
    <t>Christmas Decs Rainbow Pallet 31</t>
  </si>
  <si>
    <t>Christmas Decs Rainbow Pallet 32</t>
  </si>
  <si>
    <t>Xmas Tree 250cm Display</t>
  </si>
  <si>
    <t>T/KING RAINBOW PALLET SA</t>
  </si>
  <si>
    <t>Cushion/ H/B Chair Pad PP</t>
  </si>
  <si>
    <t>BONDS BABY PDQ PP</t>
  </si>
  <si>
    <t>WW Clg Inv Nasties 2014 Pallet A</t>
  </si>
  <si>
    <t>WW Clg Inv Nasts14 Palt B</t>
  </si>
  <si>
    <t>Smiths Thinly 175G Pallet</t>
  </si>
  <si>
    <t>Lindt Early Half PDQ PP</t>
  </si>
  <si>
    <t>Disney Flrstand Xmas 2013</t>
  </si>
  <si>
    <t>Lindt Bear Half PDQ</t>
  </si>
  <si>
    <t>SHOWER BODY DISPLAY PP</t>
  </si>
  <si>
    <t>C/H Potted Daisy Medium Pdq 64EA</t>
  </si>
  <si>
    <t>C/H Potted Hibscus Pdq</t>
  </si>
  <si>
    <t>Clover Hill Potted Rose 1ea</t>
  </si>
  <si>
    <t>C/H Potted Ficus Std Pdq 36ea</t>
  </si>
  <si>
    <t>G/L Potted Indoor A Xlge</t>
  </si>
  <si>
    <t>Potted Succulent Mix Pdq</t>
  </si>
  <si>
    <t>C/H Potted Azalea Std Pdq</t>
  </si>
  <si>
    <t>C/H Pottd Jasmne Clmb Pdq</t>
  </si>
  <si>
    <t>C/H Potted Colour Bowl</t>
  </si>
  <si>
    <t>Potted Foliage Large Pdq</t>
  </si>
  <si>
    <t>Potted Kangaroo Paw PDQ</t>
  </si>
  <si>
    <t>C/H Potted Outdoor Md Pdq</t>
  </si>
  <si>
    <t>WELCOME TO SPRING PP</t>
  </si>
  <si>
    <t>G/L Potted Mixed Shrubs</t>
  </si>
  <si>
    <t>G/L Potted Flowering Shrb</t>
  </si>
  <si>
    <t>G/L Potted Lettuce Mix</t>
  </si>
  <si>
    <t>DEBCO POTTING MIX 5L PP</t>
  </si>
  <si>
    <t>Potted Herb Mix</t>
  </si>
  <si>
    <t>C/H Pot Succulent Medium</t>
  </si>
  <si>
    <t>Blackmores Fish Oil 400g 1/2 End Pre Packed Pallet</t>
  </si>
  <si>
    <t>Y/S PALLET COMBINATION PP</t>
  </si>
  <si>
    <t>YATE/S P/CMBNTION WA PP</t>
  </si>
  <si>
    <t>Raid Rainbow Pallet Disp</t>
  </si>
  <si>
    <t>Moose Xmas Pallet Prepack Display</t>
  </si>
  <si>
    <t>1D DISPLAY PREPACK SMALL</t>
  </si>
  <si>
    <t>1D DISPLAY PREPACK MEDIUM</t>
  </si>
  <si>
    <t>1D DISPLAY PREPACK LARGE</t>
  </si>
  <si>
    <t>Smash Neon Pallet PDQ Display</t>
  </si>
  <si>
    <t>Smiths &amp; Doritos 175GPallet Display</t>
  </si>
  <si>
    <t>Lindt Hello PDQ</t>
  </si>
  <si>
    <t>Big Brthr Floor Bin Dsply</t>
  </si>
  <si>
    <t>A Royale Christmas Prepack</t>
  </si>
  <si>
    <t>Moose Xmas Pallet Small Display</t>
  </si>
  <si>
    <t>Doritos Jacked 150G Pallet Display</t>
  </si>
  <si>
    <t>AUST Day PDQ Display</t>
  </si>
  <si>
    <t>Moose Xmas Pallet Medium Display</t>
  </si>
  <si>
    <t>Sun Prepack Resort Bin</t>
  </si>
  <si>
    <t>Doritos Jacked PalltSmall Display 150g</t>
  </si>
  <si>
    <t>Star Wars Spectacular Pp</t>
  </si>
  <si>
    <t>Aerogard 4 Way Bin Pp</t>
  </si>
  <si>
    <t>Soda Water 1.25L Dpallet</t>
  </si>
  <si>
    <t>Wtr Sparkling 1.25L Dplt</t>
  </si>
  <si>
    <t>Xmas 4 Way 2013 Display</t>
  </si>
  <si>
    <t>Snk Pots Ent Xmas M/U Lrg</t>
  </si>
  <si>
    <t>Snck Pots Ent M/U XmasSml</t>
  </si>
  <si>
    <t>Gillette Maclrns Dspl Bin</t>
  </si>
  <si>
    <t>Bonds Christmas PDQ Display</t>
  </si>
  <si>
    <t>Bonds BTS PDQ Unit Dsplyl</t>
  </si>
  <si>
    <t>Potted Lisianthus 72EA</t>
  </si>
  <si>
    <t>Winter PJ PDQ Unit</t>
  </si>
  <si>
    <t>Lindt Picnic Range PDQ 17kg</t>
  </si>
  <si>
    <t>Lindt Hen Range PDQ 22kg</t>
  </si>
  <si>
    <t>Lindt Easter Impulse Twr 8kg</t>
  </si>
  <si>
    <t>LdtEarly Setllers PDQ63kg</t>
  </si>
  <si>
    <t>Oral Care Prepak Pallet A</t>
  </si>
  <si>
    <t>Oral Care Prepck Pallet B</t>
  </si>
  <si>
    <t>F/F Single Stem Rose 24ea</t>
  </si>
  <si>
    <t>A&amp;P Clnrs Pallet Stck Dsp</t>
  </si>
  <si>
    <t>Cleaners Pallet Bin Only</t>
  </si>
  <si>
    <t>Bonds / Explorer Front End Display</t>
  </si>
  <si>
    <t>WW Oral Care Tower Bins 2 Display</t>
  </si>
  <si>
    <t>Mothers Day Candle PDQ Display</t>
  </si>
  <si>
    <t>Nivea Prepacked Bin March 2014 Display</t>
  </si>
  <si>
    <t>C/H Potted Rose Pdq 64ea</t>
  </si>
  <si>
    <t>WW Optic White Half Pallet B Display</t>
  </si>
  <si>
    <t>WW Optic White Half Pallet A Display</t>
  </si>
  <si>
    <t>Smiths Maxx 200g Pallet Drp1Small Dsp</t>
  </si>
  <si>
    <t>Smiths Maxx 200g Pallet Drop 2 Lrg</t>
  </si>
  <si>
    <t>WW Easter 2014 Display</t>
  </si>
  <si>
    <t>Dickies Pallet PDQ Dsp</t>
  </si>
  <si>
    <t>Snack Pots Ent Multi Unit Easter Small</t>
  </si>
  <si>
    <t>F/F Posy Easter 1ea</t>
  </si>
  <si>
    <t>Gar Which Bb Are You Ww Pkd Pt 2 Dg Display</t>
  </si>
  <si>
    <t>G/L Potted Magnolia 1ea</t>
  </si>
  <si>
    <t>Bonds Mothers Day PDQ Display</t>
  </si>
  <si>
    <t>C/H Potted Chrysanthemum Med 1ea</t>
  </si>
  <si>
    <t>G/L Potted Mandevilla Lge Pdq 1ea</t>
  </si>
  <si>
    <t>G/L Potted CordylineLge Pdq 36ea</t>
  </si>
  <si>
    <t>G/L Potted Shrub Sml Pdq 81ea</t>
  </si>
  <si>
    <t>Air Wick Rare 4 Way Bin Display</t>
  </si>
  <si>
    <t>Half Fish Oil Pallet 400s Display</t>
  </si>
  <si>
    <t>T/I Supportive type Dsp</t>
  </si>
  <si>
    <t>Floral Pack Mums Delight</t>
  </si>
  <si>
    <t>H/C &amp; G/Seasonal Display</t>
  </si>
  <si>
    <t>Plush Unicorn Seahrse Or Dino100cm</t>
  </si>
  <si>
    <t>Plush Fish Dolphin Whale Turtle 100cm</t>
  </si>
  <si>
    <t>Plush Teddy Or Puppy 100cm</t>
  </si>
  <si>
    <t>Snack Pots Entertainers PDQ Small</t>
  </si>
  <si>
    <t>Rrd Pallet Ww Display</t>
  </si>
  <si>
    <t>C/H Potted Rose Med Pdq 81ea</t>
  </si>
  <si>
    <t>C/H Potted Carnation Sml Pdq 90ea</t>
  </si>
  <si>
    <t>C/H Potted Cyclamen Med Pdq 64ea</t>
  </si>
  <si>
    <t>C/H Potted Cyclamen Sml Pdq 90ea</t>
  </si>
  <si>
    <t>C/H Potted Primula 90ea</t>
  </si>
  <si>
    <t>G/L Potted Begonia Med Pdq 81ea</t>
  </si>
  <si>
    <t>Potted Bulb Hycnth 64EA</t>
  </si>
  <si>
    <t>Seasonal Mix PDQ 10.00</t>
  </si>
  <si>
    <t>Seasonal Mix PDQ 7.00</t>
  </si>
  <si>
    <t>Seasonal Mix PDQ 7.00 96ea</t>
  </si>
  <si>
    <t>Seasonal Mix PDQ 8.00 96ea</t>
  </si>
  <si>
    <t>Seasonal Mix PDQ 6.00 96ea</t>
  </si>
  <si>
    <t>Seasonal Mix PDQ 9.00 80ea</t>
  </si>
  <si>
    <t>Seasonal Mix PDQ 9.00 96ea</t>
  </si>
  <si>
    <t>Seasonal Mix PDQ 10.00 80ea</t>
  </si>
  <si>
    <t>Seasonal Mix PDQ 6.00 80ea</t>
  </si>
  <si>
    <t>F/F Floral PDQ 3 80ea</t>
  </si>
  <si>
    <t>Seasonal Mix Pdq 12 64ea</t>
  </si>
  <si>
    <t>July BFS Front GndlaEnd Display</t>
  </si>
  <si>
    <t>Potted Succulents 42ea</t>
  </si>
  <si>
    <t>C/H Potted Buxus Pdq 25ea</t>
  </si>
  <si>
    <t>C/H Potted Shrub Lge Pdq</t>
  </si>
  <si>
    <t>G/L Potted Tree Pdq 90ea</t>
  </si>
  <si>
    <t>F/F FLORAL PDQ 2 80ea</t>
  </si>
  <si>
    <t>Bonds Fathers Day PDQ Display</t>
  </si>
  <si>
    <t>C/H Potted Colour Pdq 81ea</t>
  </si>
  <si>
    <t>C/H Potted Colour Basket 36ea</t>
  </si>
  <si>
    <t>G/L Potted Kalanchoe 144ea</t>
  </si>
  <si>
    <t>Smiths Maxx Cheeseburger Pallet</t>
  </si>
  <si>
    <t>Smt Maxx Onion Rings 200g 9x</t>
  </si>
  <si>
    <t>F/F Floral PDQ 5 64ea</t>
  </si>
  <si>
    <t>Xmas Rainbow Pallets2014 Pallet 1</t>
  </si>
  <si>
    <t>Xmas Rainbow Pallets2014 Pallet 2</t>
  </si>
  <si>
    <t>Xmas Rainbow Pallets2014 Pallet 3</t>
  </si>
  <si>
    <t>Xmas Rainbow Pallets2014 Pallet 4</t>
  </si>
  <si>
    <t>Xmas Rainbow Pallets2014 Pallet 5</t>
  </si>
  <si>
    <t>Xmas Rainbow Pallets2014 Pallet 6</t>
  </si>
  <si>
    <t>Xmas Rainbow Pallets2014 Pallet 7</t>
  </si>
  <si>
    <t>Xmas Rainbow Pallets2014 Pallet 8</t>
  </si>
  <si>
    <t>Brunnings Pallet Display</t>
  </si>
  <si>
    <t>Xmas Rainbow Pallets2014 Pallet 9</t>
  </si>
  <si>
    <t>Xmas Rainbow Pallets2014 Pallet 10</t>
  </si>
  <si>
    <t>Xmas Rainbow Pallets2014 Pallet 11</t>
  </si>
  <si>
    <t>Xmas Rainbow Pallets2014 Pallet 12</t>
  </si>
  <si>
    <t>Xmas Rainbow Pallets2014 Pallet 13</t>
  </si>
  <si>
    <t>Xmas Rainbow Pallets2014 Pallet 14</t>
  </si>
  <si>
    <t>Xmas Rainbow Pallets2014 Pallet 15</t>
  </si>
  <si>
    <t>Xmas Rainbow Pallets2014 Pallet 16</t>
  </si>
  <si>
    <t>Xmas Rainbow Pallets2014 Pallet 17</t>
  </si>
  <si>
    <t>Xmas Rainbow Pallets2014 Pallet 18</t>
  </si>
  <si>
    <t>Xmas Rainbow Pallets2014 Pallet 19</t>
  </si>
  <si>
    <t>Xmas Rainbow Pallets2014 Pallet 20</t>
  </si>
  <si>
    <t>Xmas Rainbow Pallets2014 Pallet 21</t>
  </si>
  <si>
    <t>Xmas Rainbow Pallets2014 Pallet 22</t>
  </si>
  <si>
    <t>Xmas Rainbow Pallets2014 Pallet 23</t>
  </si>
  <si>
    <t>Potted Azalea Lux 49EA</t>
  </si>
  <si>
    <t>Xmas Rainbow Pallets2014 Pallet 24</t>
  </si>
  <si>
    <t>Xmas Rainbow Pallets2014 Pallet 25</t>
  </si>
  <si>
    <t>Xmas Rainbow Pallets2014 Pallet 26</t>
  </si>
  <si>
    <t>Xmas Rainbow Pallets2014 Pallet 27</t>
  </si>
  <si>
    <t>Xmas Rainbow Pallets2014 Pallet 28</t>
  </si>
  <si>
    <t>Xmas Rainbow Pallets2014 Pallet 29</t>
  </si>
  <si>
    <t>Xmas Rainbow Pallets2014 Pallet 30</t>
  </si>
  <si>
    <t>Xmas Rainbow Pallets2014 Pallet 31</t>
  </si>
  <si>
    <t>Xmas Rainbow Pallets2014 Pallet 32</t>
  </si>
  <si>
    <t>Xmas Rainbow Pallets2014 Pallet 33</t>
  </si>
  <si>
    <t>Xmas Rainbow Pallets2014 Pallet 34</t>
  </si>
  <si>
    <t>Xmas Rainbow Pallets2014 Pallet 35</t>
  </si>
  <si>
    <t>Xmas Rainbow Pallets2014 Pallet 36</t>
  </si>
  <si>
    <t>Xmas Rainbow Pallets2014 Pallet 37</t>
  </si>
  <si>
    <t>Xmas Rainbow Pallets2014 Pallet 38</t>
  </si>
  <si>
    <t>Xmas Rainbow Pallets2014 Pallet 39</t>
  </si>
  <si>
    <t>Xmas Rainbow Pallets2014 Pallet 40</t>
  </si>
  <si>
    <t>Xmas Rainbow Pallets2014 Pallet 41</t>
  </si>
  <si>
    <t>Xmas Rainbow Pallets2014 Pallet 42</t>
  </si>
  <si>
    <t>Xmas Rainbow Pallets2014 Pallet 43</t>
  </si>
  <si>
    <t>Xmas Rainbow Pallets2014 Pallet 44</t>
  </si>
  <si>
    <t>Xmas Rainbow Pallets2014 Pallet 45</t>
  </si>
  <si>
    <t>Xmas Rainbow Pallets2014 Pallet 46</t>
  </si>
  <si>
    <t>Xmas Rainbow Pallets2014 Pallet 47</t>
  </si>
  <si>
    <t>Xmas Rainbow Pallets2014 Pallet 48</t>
  </si>
  <si>
    <t>Xmas Rainbow Pallets2014 Pallet 49</t>
  </si>
  <si>
    <t>Xmas Rainbow Pallets2014 Pallet 50</t>
  </si>
  <si>
    <t>Xmas Rainbow Pallets2014 Pallet 51</t>
  </si>
  <si>
    <t>Xmas Rainbow Pallets2014 Pallet 52</t>
  </si>
  <si>
    <t>Xmas Rainbow Pallets2014 Pallet 53</t>
  </si>
  <si>
    <t>Xmas Rainbow Pallets2014 Pallet 54</t>
  </si>
  <si>
    <t>Xmas Rainbow Pallets2014 Pallet 55</t>
  </si>
  <si>
    <t>Xmas Rainbow Pallets2014 Pallet 56</t>
  </si>
  <si>
    <t>Xmas Rainbow Pallets2014 Pallet 57</t>
  </si>
  <si>
    <t>Xmas Rainbow Pallets2014 Pallet 58</t>
  </si>
  <si>
    <t>Xmas Rainbow Pallets2014 Pallet 59</t>
  </si>
  <si>
    <t>Xmas Rainbow Pallets2014 Pallet 60</t>
  </si>
  <si>
    <t>Xmas Rainbow Pallets2014 Pallet 61</t>
  </si>
  <si>
    <t>Xmas Rainbow Pallets2014 Pallet 62</t>
  </si>
  <si>
    <t>Xmas Rainbow Pallets2014 Pallet 63</t>
  </si>
  <si>
    <t>Xmas Rainbow Pallets2014 Pallet 64</t>
  </si>
  <si>
    <t>Xmas Rainbow Pallets2014 Pallet 65</t>
  </si>
  <si>
    <t>Xmas Rainbow Pallets2014 Pallet 66</t>
  </si>
  <si>
    <t>Xmas Rainbow Pallets2014 Pallet 67</t>
  </si>
  <si>
    <t>Xmas Rainbow Pallets2014 Pallet 68</t>
  </si>
  <si>
    <t>Xmas Rainbow Pallets2014 Pallet 69</t>
  </si>
  <si>
    <t>Xmas Rainbow Pallets2014 Pallet 70</t>
  </si>
  <si>
    <t>G/L Potted Plant Med Pdq 42ea</t>
  </si>
  <si>
    <t>Xmas Rainbow Pallets2014 Pallet 71</t>
  </si>
  <si>
    <t>Xmas Rainbow Pallets2014 Pallet 72</t>
  </si>
  <si>
    <t>Xmas Rainbow Pallets2014 Pallet 73</t>
  </si>
  <si>
    <t>Xmas Rainbow Pallets2014 Pallet 74 Dsp</t>
  </si>
  <si>
    <t>Xmas Rainbow Pallets2014 Pallet 76</t>
  </si>
  <si>
    <t>Xmas Rainbow Pallets2014 Pallet 77</t>
  </si>
  <si>
    <t>Xmas Rainbow Pallets2014 Pallet 78</t>
  </si>
  <si>
    <t>Xmas Rainbow Pallets2014 Pallet 79</t>
  </si>
  <si>
    <t>Xmas Rainbow Pallets2014 Pallet 80</t>
  </si>
  <si>
    <t>Xmas Rainbow Pallets2014 Pallet 81</t>
  </si>
  <si>
    <t>Xmas Rainbow Palets 2014 Pallet 82 Dsp</t>
  </si>
  <si>
    <t>Xmas Rainbow Pallets 2014 Pallet 83 Dsp</t>
  </si>
  <si>
    <t>Xmas RainbowPallets 2014 Pallet 84</t>
  </si>
  <si>
    <t>C/H Potted Gift LilyPDQ 42ea</t>
  </si>
  <si>
    <t>Xmas Rainbow Palets 2014 Pallet 85 Displ</t>
  </si>
  <si>
    <t>Xmas Rainbow Palets 2014 Pallet 86 Displ</t>
  </si>
  <si>
    <t>Xmas Rainbow Palets 2014 Pallet 87 Displ</t>
  </si>
  <si>
    <t>Xmas Rainbow Palets 2014 Pallet 88 Displ</t>
  </si>
  <si>
    <t>Xmas Rainbow Palets 2014 Pallet 89 Displ</t>
  </si>
  <si>
    <t>Xmas Rainbow Palets 2014 Pallet 90 Displ</t>
  </si>
  <si>
    <t>Xmas Rainbow Palets 2014 Pallet 91 Displ</t>
  </si>
  <si>
    <t>Decor Pallet Display</t>
  </si>
  <si>
    <t>Xmas Rainbow Palets 2014 Pallet 92 Displ</t>
  </si>
  <si>
    <t>Xmas Rainbow Palets 2014 Pallet 93 Displ</t>
  </si>
  <si>
    <t>Xmas Rainbow Palets 2014 Pallet 94 Displ</t>
  </si>
  <si>
    <t>Xmas Rainbow Palets 2014 Pallet 95 Displ</t>
  </si>
  <si>
    <t>Xmas Rainbow Palets 2014 Pallet 96 Displ</t>
  </si>
  <si>
    <t>Xmas Rainbow Palets 2014 Pallet 97 Displ</t>
  </si>
  <si>
    <t>Xmas Rainbow Palets 2014 Pallet 98 Displ</t>
  </si>
  <si>
    <t>Xmas Rainbow Palets 2014 Pallet 99 Displ</t>
  </si>
  <si>
    <t>Xmas Rainbow Palets 2014 Pallet 100 Disp</t>
  </si>
  <si>
    <t>Xmas Rainbow Palets 2014 Pallet 75</t>
  </si>
  <si>
    <t>F/F Floral PDQ 4 96ea</t>
  </si>
  <si>
    <t>C/H Potted Petunia Pdq 90ea</t>
  </si>
  <si>
    <t>C/H Potted Herb Pdq 90ea</t>
  </si>
  <si>
    <t>C/H Potted Shrub 36ea</t>
  </si>
  <si>
    <t>Party Bin</t>
  </si>
  <si>
    <t>F/F Floral PDQ 8 48ea</t>
  </si>
  <si>
    <t>Potted Bird Of Paradise</t>
  </si>
  <si>
    <t>BONDS XMAS PDQ</t>
  </si>
  <si>
    <t>WW Style Your Smile Shopdown Pallet</t>
  </si>
  <si>
    <t>Date</t>
  </si>
  <si>
    <t>OT Hrs</t>
  </si>
  <si>
    <t>DESCRIPTION</t>
  </si>
  <si>
    <t>OM</t>
  </si>
  <si>
    <t>VP</t>
  </si>
  <si>
    <t>Total Count</t>
  </si>
  <si>
    <t>Additional Cartons</t>
  </si>
  <si>
    <t>Seasonal Mix Pdq 36ea</t>
  </si>
  <si>
    <t>Pot O/D Flower Med V4 Pdq 64EA</t>
  </si>
  <si>
    <t>G/L Potted Palm Mix</t>
  </si>
  <si>
    <t>Coconut 264ea</t>
  </si>
  <si>
    <t>Potato Sweet Gold Composite 180kg</t>
  </si>
  <si>
    <t>Onion Red 5kg 45ea</t>
  </si>
  <si>
    <t>Pumpkin Butternut Odd Bunch 130ea</t>
  </si>
  <si>
    <t>Ww Smths Meat Pie &amp; Sauce Pallet</t>
  </si>
  <si>
    <t>Melon Water Red S/Less Ea 80EA</t>
  </si>
  <si>
    <t>WW May F/E PDQ</t>
  </si>
  <si>
    <t>Glade Mothers Day Tower Rainbow Pallet</t>
  </si>
  <si>
    <t>Dickies May PDQ</t>
  </si>
  <si>
    <t>Potted Chrys Med 36ea</t>
  </si>
  <si>
    <t>Produce</t>
  </si>
  <si>
    <t>Plants - Set at 20 CPP</t>
  </si>
  <si>
    <t>PDQ - Adjust to inner SKU's</t>
  </si>
  <si>
    <t>Act_Cartons</t>
  </si>
  <si>
    <t>Leave Type</t>
  </si>
  <si>
    <t>Total</t>
  </si>
  <si>
    <t>00. Sick - No Cert - Paid^*</t>
  </si>
  <si>
    <t>01. Sick - No Cert - Unpaid^</t>
  </si>
  <si>
    <t>02. Sick - Cert - Paid^*</t>
  </si>
  <si>
    <t>03. Sick - Cert - Unpaid^</t>
  </si>
  <si>
    <t>04. Absent No Call^</t>
  </si>
  <si>
    <t>05. Late^</t>
  </si>
  <si>
    <t>06. Left Early^</t>
  </si>
  <si>
    <t>07. RDO*</t>
  </si>
  <si>
    <t>08. Alt Day Off</t>
  </si>
  <si>
    <t>09. Annual</t>
  </si>
  <si>
    <t>10. Long Service</t>
  </si>
  <si>
    <t>11. Casual Planned</t>
  </si>
  <si>
    <t>12. Absent With Reason^</t>
  </si>
  <si>
    <t>13. Stat Dec - Paid^*</t>
  </si>
  <si>
    <t>14. Stat Dec - Unpaid^</t>
  </si>
  <si>
    <t>15. Time in Lieu</t>
  </si>
  <si>
    <t>16. Unpaid Leave Agreed</t>
  </si>
  <si>
    <t>17. Unfit For Duties*</t>
  </si>
  <si>
    <t>Alternate Public Holiday*</t>
  </si>
  <si>
    <t>Annual - Half Pay</t>
  </si>
  <si>
    <t>Annual - Unpaid</t>
  </si>
  <si>
    <t>Annual In Advance</t>
  </si>
  <si>
    <t>Bereavement - Paid*</t>
  </si>
  <si>
    <t>Bereavement - Unpaid</t>
  </si>
  <si>
    <t>Birthday Leave *</t>
  </si>
  <si>
    <t>Blood Donor*</t>
  </si>
  <si>
    <t>Career Break</t>
  </si>
  <si>
    <t>Carer - Paid^*</t>
  </si>
  <si>
    <t>Carer - Unpaid^</t>
  </si>
  <si>
    <t>Casual Declined Shift</t>
  </si>
  <si>
    <t>Compassionate - Paid*</t>
  </si>
  <si>
    <t>Compassionate - Unpaid</t>
  </si>
  <si>
    <t>Early Start</t>
  </si>
  <si>
    <t>EIP Dr Appointment*</t>
  </si>
  <si>
    <t>Family - Paid^*</t>
  </si>
  <si>
    <t>Family - Unpaid^</t>
  </si>
  <si>
    <t>Flex Up/Additional Declined</t>
  </si>
  <si>
    <t>Flex Up/Additional No Show^</t>
  </si>
  <si>
    <t>Jury Service*</t>
  </si>
  <si>
    <t>Long Service - Half Pay</t>
  </si>
  <si>
    <t>Make Up Time</t>
  </si>
  <si>
    <t>OH&amp;S Course - Paid*</t>
  </si>
  <si>
    <t>OT No Show^</t>
  </si>
  <si>
    <t>Out of Work Injury - Paid^*</t>
  </si>
  <si>
    <t>Out of Work Injury - Unpaid^</t>
  </si>
  <si>
    <t>Parental - Paid*</t>
  </si>
  <si>
    <t>Parental - Unpaid</t>
  </si>
  <si>
    <t>Pending Termination</t>
  </si>
  <si>
    <t>Picnic Day*</t>
  </si>
  <si>
    <t>Pre or Post PH Absent No Cert - Unpaid</t>
  </si>
  <si>
    <t>Project Work</t>
  </si>
  <si>
    <t>Public Holiday</t>
  </si>
  <si>
    <t>Purchased Additional</t>
  </si>
  <si>
    <t>Rostered Week Off*</t>
  </si>
  <si>
    <t>RTW Treatment-Site*</t>
  </si>
  <si>
    <t>Shift Cancelled</t>
  </si>
  <si>
    <t>Sick-Paid Annual</t>
  </si>
  <si>
    <t>Study Leave*</t>
  </si>
  <si>
    <t>Suspended - Paid*</t>
  </si>
  <si>
    <t>Suspended - Unpaid</t>
  </si>
  <si>
    <t>TOIL Taken OT</t>
  </si>
  <si>
    <t>Training - Paid*</t>
  </si>
  <si>
    <t>Training - Unpaid</t>
  </si>
  <si>
    <t>Unauthorised^</t>
  </si>
  <si>
    <t>Union Delegate - Paid*</t>
  </si>
  <si>
    <t>Union Meeting - Paid*</t>
  </si>
  <si>
    <t>Union Meeting - Unpaid</t>
  </si>
  <si>
    <t>Union Strike - Unpaid</t>
  </si>
  <si>
    <t>Volunteer - ADF*</t>
  </si>
  <si>
    <t>Volunteer - RFS*</t>
  </si>
  <si>
    <t>Volunteer - SES*</t>
  </si>
  <si>
    <t>WC - Ins Paid*</t>
  </si>
  <si>
    <t>WC - Unpaid</t>
  </si>
  <si>
    <t>WC Expired Cert*</t>
  </si>
  <si>
    <t>WC Restricted - Ins*</t>
  </si>
  <si>
    <t>WC Withdrawn Duties*</t>
  </si>
  <si>
    <t>WOW 25 Year Club*</t>
  </si>
  <si>
    <t>Z - Non Rostered Day</t>
  </si>
  <si>
    <t>Brk_Tim</t>
  </si>
  <si>
    <t>Vanish Napisan Gold Prepack Pallet</t>
  </si>
  <si>
    <t>ENR Eco Ad WW Gondola End Display</t>
  </si>
  <si>
    <t>Silverbeet Bunch 100ea(01)</t>
  </si>
  <si>
    <t>Pear Packham Green 200kg</t>
  </si>
  <si>
    <t>Rrd Roast Beef &amp; Onion Pallet 2015</t>
  </si>
  <si>
    <t>F/F Bouq Something Special 3ea</t>
  </si>
  <si>
    <t>F/F BOUQ MUMS FAVOURITE</t>
  </si>
  <si>
    <t>F/F BOUQ MUMS CLASSIC</t>
  </si>
  <si>
    <t>F/F BOUQ THANKS FOR EVERYTHING</t>
  </si>
  <si>
    <t>F/F ARRANGEMENT MOTHERS DAY</t>
  </si>
  <si>
    <t>F/F ROSE CYLINDER</t>
  </si>
  <si>
    <t>F/F ARRANGEMENT FLORAL MOTHERS DAY</t>
  </si>
  <si>
    <t>F/F BOUQ TULIP</t>
  </si>
  <si>
    <t>F/F BOUQ MUMS DELIGHT</t>
  </si>
  <si>
    <t>F/F BOUQ ROSES FOREVER</t>
  </si>
  <si>
    <t>F/F BOUQ SPRAY CARNATION MIX</t>
  </si>
  <si>
    <t>C/H POTTED CHYRSANTHEMUM</t>
  </si>
  <si>
    <t>C/H POTTED TULIP</t>
  </si>
  <si>
    <t>C/H POTTED MICRO PHALENOPSIS ORCHID</t>
  </si>
  <si>
    <t>Finish Shne &amp;Protct 4 Way Display Bin</t>
  </si>
  <si>
    <t>Energizer Ww Max Back End Bin</t>
  </si>
  <si>
    <t>Dove Bwash Triple Mst 2x1l Twn Pck Plt</t>
  </si>
  <si>
    <t>Mulgrave PZ Annual Leave</t>
  </si>
  <si>
    <t>Seasonal Mix PDQ 10.00 64ea</t>
  </si>
  <si>
    <t>Special Buy Pdq</t>
  </si>
  <si>
    <t>4 Save 900 - Payroll report into /reports as PayrollReport.xlsx</t>
  </si>
  <si>
    <t>5 Paste Weekly Leave Analysis into page Leave at call A1</t>
  </si>
  <si>
    <t>6 Paster Carton Adjustments file from Google share into page carton_adjustments</t>
  </si>
  <si>
    <t>7 Run update macros with this button:</t>
  </si>
  <si>
    <t>8 Save this sheet into database with the file name "yymmdd.xls" (eg "20150514.xls" for the 14th May 2015)</t>
  </si>
  <si>
    <t>9 Open HC Data to continue.</t>
  </si>
  <si>
    <t>Bonds June 4way Dump Bin</t>
  </si>
  <si>
    <t>Air Wick Life Scnts rainbow pallet</t>
  </si>
  <si>
    <t>Smiths Thinly Cut Chips 175g Pallet</t>
  </si>
  <si>
    <t>Seasonal Mix PDQ 13.00 64ea</t>
  </si>
  <si>
    <t>Cheezels Mixed Mltpck Prepack Palle</t>
  </si>
  <si>
    <t>Jumbo Jungle Plush 100cm</t>
  </si>
  <si>
    <t>Jumbo Dinosaur Plush100cm</t>
  </si>
  <si>
    <t>Energizer WW Toy Sale 4 Way</t>
  </si>
  <si>
    <t>C/H Potted Carnationpdq 81ea</t>
  </si>
  <si>
    <t>Smiths Crinkle Cut Chips Grvy 170g Pllt</t>
  </si>
  <si>
    <t>Ww Special Buy Hestia/Razza/Rio</t>
  </si>
  <si>
    <t>Ww July F/E Pdq 800</t>
  </si>
  <si>
    <t>No Lunch</t>
  </si>
  <si>
    <t>CCs Three Cheeses 175g Pre-pack Pallet</t>
  </si>
  <si>
    <t>Leave Annual Half Pay Paid In Advance</t>
  </si>
  <si>
    <t>LSL Half Pay Paid In Advance</t>
  </si>
  <si>
    <t>LSL Paid In Advance</t>
  </si>
  <si>
    <t>Bonds 100 July Dump bin</t>
  </si>
  <si>
    <t>Red Rock Deli Chips Chll Lm Ali 165gPllt</t>
  </si>
  <si>
    <t>Moccona Caffitaly Cpsl Dsp Plt 240 Pks</t>
  </si>
  <si>
    <t>F/F Floral PDQ 7 112ea</t>
  </si>
  <si>
    <t>Doritos Thai Sweet Chilli 170g Pallet</t>
  </si>
  <si>
    <t>Tontine PDQ 48unts Display</t>
  </si>
  <si>
    <t>Late - Make Up Time</t>
  </si>
  <si>
    <t>Site interruption (non leave)</t>
  </si>
  <si>
    <t>F/DAY DUMP BIN 4 X 800</t>
  </si>
  <si>
    <t>Energizer Max E&amp;L Bulk End Aug Display</t>
  </si>
  <si>
    <t>F/F Floral PDQ 5 80ea</t>
  </si>
  <si>
    <t>Yates Spring Pallets East</t>
  </si>
  <si>
    <t>Energizer Max Hex Bin Sept Display</t>
  </si>
  <si>
    <t>Yates Spring Pallet With Bloom Pott Mix</t>
  </si>
  <si>
    <t>Smiths Meat Pie &amp; Sauce Pallet Display</t>
  </si>
  <si>
    <t>Yates Spring PalletsWA</t>
  </si>
  <si>
    <t>C/H Potted Jasmine Climb Med Pdq 81ea</t>
  </si>
  <si>
    <t>Kiddicare Mixed Pallet</t>
  </si>
  <si>
    <t>FT</t>
  </si>
  <si>
    <t>PT</t>
  </si>
  <si>
    <t>CA</t>
  </si>
  <si>
    <t>33 5am 8hrs</t>
  </si>
  <si>
    <t>1933 - Ambient -  Supervision - Shorts Management (330)</t>
  </si>
  <si>
    <t>1933 - Ambient - Order Selection - AM 1 Picker</t>
  </si>
  <si>
    <t>1933 - Ambient - Order Selection - Liquor</t>
  </si>
  <si>
    <t>ADCOCK BRETT</t>
  </si>
  <si>
    <t>33 7am 8hrs</t>
  </si>
  <si>
    <t>1933 - Ambient - Order Selection - Amb Picker</t>
  </si>
  <si>
    <t xml:space="preserve">1933 - Ambient - Other Indirects - Equipment Swap </t>
  </si>
  <si>
    <t>ALDERMAN LISA</t>
  </si>
  <si>
    <t>37 3am 10hrs</t>
  </si>
  <si>
    <t>1937 - TC - Replenishment - Replenishment Fork - Chiller</t>
  </si>
  <si>
    <t>1946 - Produce - Putaway - Putaway Fork *</t>
  </si>
  <si>
    <t>1937 - TC - Cleaner - General Cleaner (710)</t>
  </si>
  <si>
    <t>ALLAN ALEXANDER</t>
  </si>
  <si>
    <t>33 1.30am 8hrs</t>
  </si>
  <si>
    <t>1933 - Ambient - Receiving - Unloader (341)</t>
  </si>
  <si>
    <t>1933 - Ambient - Order Selection - AM CLS Picker</t>
  </si>
  <si>
    <t>ALLMON CHARNE</t>
  </si>
  <si>
    <t>Salary</t>
  </si>
  <si>
    <t>1937 - TC - Supervision - Team Leader</t>
  </si>
  <si>
    <t>37 5am 8hrs</t>
  </si>
  <si>
    <t>1937 - TC - Order Selection - Chiller - Chill Picker</t>
  </si>
  <si>
    <t>1937 - TC - Despatch - Loader TC RF</t>
  </si>
  <si>
    <t>1946 - Produce - Despatch - Loader Prod RF</t>
  </si>
  <si>
    <t>ANDERSON KYLIE</t>
  </si>
  <si>
    <t>1965 - General &amp; Admin -  HR - HR Specialist</t>
  </si>
  <si>
    <t>ANSHAW COLE</t>
  </si>
  <si>
    <t>1933 - Ambient - Other Indirects - Cycle Counting *</t>
  </si>
  <si>
    <t>1933 - Ambient - Return to Work - RTW Duties - Misc (393) (add comment)</t>
  </si>
  <si>
    <t>1933 - Ambient - Return to Work - Clean Cardboard &amp; Plastic Ambient (391)</t>
  </si>
  <si>
    <t>1933 - Ambient - Return to Work - Doctors Visit (399)</t>
  </si>
  <si>
    <t>46 10am 8hrs</t>
  </si>
  <si>
    <t>1946 - Produce - Order Selection - Produce Layer Picker</t>
  </si>
  <si>
    <t>1946 - Produce - Replenishment - Replenishment Fork</t>
  </si>
  <si>
    <t>AUSTIN MARTIN</t>
  </si>
  <si>
    <t>1965 - General &amp; Admin -  Systems - Systems Specialist</t>
  </si>
  <si>
    <t>1933 - Ambient -  Supervision - Team Leader (380)</t>
  </si>
  <si>
    <t>BALES CHAD</t>
  </si>
  <si>
    <t>37 Fresh Trial</t>
  </si>
  <si>
    <t>1937 - TC - Reverse Pick - Fresh - Fresh</t>
  </si>
  <si>
    <t>1937 - TC - Other Indirects - Complete Assignments</t>
  </si>
  <si>
    <t>1933 - Ambient - RF Fork - AM CLS Replenishment</t>
  </si>
  <si>
    <t>1933 - Ambient - Putaway - Putaway Fork</t>
  </si>
  <si>
    <t>1933 - Ambient - RF Fork - AM 4 Replenishment</t>
  </si>
  <si>
    <t>1933 - Ambient - Order Selection - Tote Security</t>
  </si>
  <si>
    <t>37 12pm 10hrs</t>
  </si>
  <si>
    <t>1937 - TC - Supervision - Despatch Co-ordinator (779)</t>
  </si>
  <si>
    <t>BARNES MATTHEW</t>
  </si>
  <si>
    <t>33 4am 8hrs</t>
  </si>
  <si>
    <t>1933 - Ambient - RF Fork - AM 2 Replenishment</t>
  </si>
  <si>
    <t>BARNES TREVOR</t>
  </si>
  <si>
    <t>1937 - TC - Supervision - Selection Co-ordinator (771)</t>
  </si>
  <si>
    <t>BEER LYNETTE</t>
  </si>
  <si>
    <t>1915 - Transport - Assistant - Clerk</t>
  </si>
  <si>
    <t>BERTOLDI DENIS</t>
  </si>
  <si>
    <t>1933 - Ambient - RF Fork - AM 1 Replenishment</t>
  </si>
  <si>
    <t>1933 - Ambient - RF Fork - AM 3 Replenishmnet</t>
  </si>
  <si>
    <t>1933 - Ambient - RF Fork - Liquor Replenishment</t>
  </si>
  <si>
    <t>1946 - Produce - Picker / IMASY  - 2 Deg Picker</t>
  </si>
  <si>
    <t>1946 - Produce - Picker / IMASY  - 13 Deg Picker</t>
  </si>
  <si>
    <t>1946 - Produce - Picker / IMASY  - 7 Deg Picker</t>
  </si>
  <si>
    <t>33 Other</t>
  </si>
  <si>
    <t>1933 - Ambient - Cleaner - Cleaner(310)</t>
  </si>
  <si>
    <t>BIRD DARREN</t>
  </si>
  <si>
    <t>1933 - Ambient - Other Indirects - Pallet Fork (355)</t>
  </si>
  <si>
    <t>BOND JANINE</t>
  </si>
  <si>
    <t>Late Night Rec Opt</t>
  </si>
  <si>
    <t>1933 - Ambient -  Supervision - Receiving Co-ordinator (342)</t>
  </si>
  <si>
    <t>1933 - Ambient - Receiving - Checker (340)</t>
  </si>
  <si>
    <t>BOSWORTH JAMES</t>
  </si>
  <si>
    <t>1937 - TC - Putaway - Putaway Fork - Chiller</t>
  </si>
  <si>
    <t>BROCKBANK SUZANNE</t>
  </si>
  <si>
    <t>1965 - General &amp; Admin -  HR - Payroll and Support Officer</t>
  </si>
  <si>
    <t>33 12pm 10hrs</t>
  </si>
  <si>
    <t>1933 - Ambient - Maintenance - Battery Attendant (335)</t>
  </si>
  <si>
    <t>37 Other</t>
  </si>
  <si>
    <t>1933 - Ambient - Other Indirects - Turn Pallet (357)</t>
  </si>
  <si>
    <t>1933 - Ambient - RF Fork - Confectionary Replenishment</t>
  </si>
  <si>
    <t>33 3am 10 hrs</t>
  </si>
  <si>
    <t>1933 - Ambient -  Supervision - Despatch Co-ordinator (379)</t>
  </si>
  <si>
    <t>BYRNES MATTHEW</t>
  </si>
  <si>
    <t>CARMODY-SMITH NATHAN</t>
  </si>
  <si>
    <t>33 4am 10hrs</t>
  </si>
  <si>
    <t xml:space="preserve">1933 - Ambient - Other Indirects - Team Meeting </t>
  </si>
  <si>
    <t>33 5am 10hrs</t>
  </si>
  <si>
    <t>1933 - Ambient - Despatch  - Loader AMB RF</t>
  </si>
  <si>
    <t>1933 - Ambient - Despatch  - Dekitt (385)</t>
  </si>
  <si>
    <t>Cassar Tramain</t>
  </si>
  <si>
    <t>1965 - General &amp; Admin - Senior Management - Logistics Manager</t>
  </si>
  <si>
    <t>CASSON PAUL</t>
  </si>
  <si>
    <t>1933 - Ambient - Despatch  - Cross Dock (386)</t>
  </si>
  <si>
    <t>CEFAI ROSEMARY</t>
  </si>
  <si>
    <t>CHIES GREGORY</t>
  </si>
  <si>
    <t>1933 - Ambient - Return to Work - Pushing stock in CLS Ambient(394)</t>
  </si>
  <si>
    <t>CHOPPY LEON</t>
  </si>
  <si>
    <t>Early AM Rec Opt</t>
  </si>
  <si>
    <t>1933 - Ambient -  Supervision - AM1 Co-ordinator (371)</t>
  </si>
  <si>
    <t>CLARK RICHARD</t>
  </si>
  <si>
    <t>1965 - General &amp; Admin -  General Administration - RDC Operations Manager</t>
  </si>
  <si>
    <t>COBBIN AARON</t>
  </si>
  <si>
    <t>COLLINGS STEPHEN</t>
  </si>
  <si>
    <t>1933 - Ambient - Other Indirects - Union Business</t>
  </si>
  <si>
    <t>COOMBS MITCHELL</t>
  </si>
  <si>
    <t>COONEY DAVID</t>
  </si>
  <si>
    <t>37 5am 6hrs</t>
  </si>
  <si>
    <t>46 11am 10hrs</t>
  </si>
  <si>
    <t>1946 - Produce - Supervision - Team Co-ordinator Selection(671)</t>
  </si>
  <si>
    <t>CROMPTON PETER</t>
  </si>
  <si>
    <t>1933 - Ambient -  Supervision - Team Co-ordinator DC Movements (377)</t>
  </si>
  <si>
    <t>46 12pm 10hrs</t>
  </si>
  <si>
    <t>DAWSON DORIAN</t>
  </si>
  <si>
    <t>37 3am 8hrs</t>
  </si>
  <si>
    <t>1937 - TC - Despatch - Cross Dock (786)</t>
  </si>
  <si>
    <t>1937 - TC - Order Selection - Freezer - Picker</t>
  </si>
  <si>
    <t>1937 - TC - Receiving - Checker (740)</t>
  </si>
  <si>
    <t>Dent Robert</t>
  </si>
  <si>
    <t>1915 - Transport - Leadership - Manager</t>
  </si>
  <si>
    <t>DOOLEY BENJAMIN</t>
  </si>
  <si>
    <t>1937 - TC - Supervision - Operation Manager</t>
  </si>
  <si>
    <t>1946 - Produce - Supervision - Operations Manager</t>
  </si>
  <si>
    <t>1946 - Produce - Picker / IMASY  - 7 Deg Bulk Picker</t>
  </si>
  <si>
    <t>DUNCAN LUKE</t>
  </si>
  <si>
    <t>EDWARDS CRAIG</t>
  </si>
  <si>
    <t>EVANS CALEB</t>
  </si>
  <si>
    <t>EVANS GLEN</t>
  </si>
  <si>
    <t>FIELD DAVID</t>
  </si>
  <si>
    <t>37 9am</t>
  </si>
  <si>
    <t>1946 - Produce - Supervision - Team Leader</t>
  </si>
  <si>
    <t>FISCHER GLENN</t>
  </si>
  <si>
    <t>1965 - General &amp; Admin - Maintenance  - Maintenance Manager</t>
  </si>
  <si>
    <t>FORD DAYNE</t>
  </si>
  <si>
    <t>FURCHERT MICHAEL</t>
  </si>
  <si>
    <t>1933 - Ambient - Systems Inventory - Inventory Assistant *</t>
  </si>
  <si>
    <t>GABB MICHELLE</t>
  </si>
  <si>
    <t>1965 - General &amp; Admin -  General Administration - Administration Assistant</t>
  </si>
  <si>
    <t>GAULT ALLAN</t>
  </si>
  <si>
    <t>46 Other</t>
  </si>
  <si>
    <t>GIBBONS RYAN</t>
  </si>
  <si>
    <t>GLEAVE BRETT</t>
  </si>
  <si>
    <t>GRAHAM GARRY</t>
  </si>
  <si>
    <t>GREENTREE JANE</t>
  </si>
  <si>
    <t>GRIFFITH MARGARET</t>
  </si>
  <si>
    <t>GRIFFITHS DUNCAN</t>
  </si>
  <si>
    <t>HAGGETT SHANE</t>
  </si>
  <si>
    <t>HANSON RYAN</t>
  </si>
  <si>
    <t>1933 - Ambient - RF Fork - Security Replenishment</t>
  </si>
  <si>
    <t>HART GEOFFREY</t>
  </si>
  <si>
    <t>HARVEY PAUL</t>
  </si>
  <si>
    <t>33 12pm 8hrs</t>
  </si>
  <si>
    <t>HEATH SALLY-ANN</t>
  </si>
  <si>
    <t>1965 - General &amp; Admin - Maintenance  - Maintenance Assistant</t>
  </si>
  <si>
    <t>HILLIER PETER</t>
  </si>
  <si>
    <t>1915 - Transport - Leadership - Transport Operations Manager</t>
  </si>
  <si>
    <t>HOLDEN ADAM</t>
  </si>
  <si>
    <t>1937 - TC - Other Indirects - Turn Pallet *(757)</t>
  </si>
  <si>
    <t>1933 - Ambient - Return to Work - Seated Duties - (390) see Comments</t>
  </si>
  <si>
    <t>HOWARD STEVEN</t>
  </si>
  <si>
    <t xml:space="preserve">33 9am </t>
  </si>
  <si>
    <t>1933 - Ambient - Order Selection - Layer Picker</t>
  </si>
  <si>
    <t>HYDE STEPHEN</t>
  </si>
  <si>
    <t>1937 - TC - Systems Inventory - Inventory Assistant</t>
  </si>
  <si>
    <t>33 9am 8hrs</t>
  </si>
  <si>
    <t>JACKSON BRADLEY</t>
  </si>
  <si>
    <t>33 9.30am 8hrs</t>
  </si>
  <si>
    <t>JASPER GARRY</t>
  </si>
  <si>
    <t>JOHNSTON WAYNE</t>
  </si>
  <si>
    <t>KELLY MITCHELL</t>
  </si>
  <si>
    <t>KENT MATHEW</t>
  </si>
  <si>
    <t>1946 - Produce - Receiving - Checker (640)</t>
  </si>
  <si>
    <t>KING CHERYL</t>
  </si>
  <si>
    <t>KIRK JARED</t>
  </si>
  <si>
    <t>1965 - General &amp; Admin -  General Administration - Labour Planning</t>
  </si>
  <si>
    <t>KNIGHT WAYNE</t>
  </si>
  <si>
    <t>1933 - Ambient - Other Indirects - Yard Fork (359)</t>
  </si>
  <si>
    <t>KNOX HEATHER</t>
  </si>
  <si>
    <t>KOLOAMATANGI WANITA</t>
  </si>
  <si>
    <t>1933 - Ambient - Cleaner - Reclaim (315)</t>
  </si>
  <si>
    <t>LANCASTER JASON</t>
  </si>
  <si>
    <t>46 7am 8hrs</t>
  </si>
  <si>
    <t>LARRAURI FRANCISCO</t>
  </si>
  <si>
    <t>LARSEN JAMES</t>
  </si>
  <si>
    <t>LAVER GAVIN</t>
  </si>
  <si>
    <t>Leard Natalie</t>
  </si>
  <si>
    <t>1965 - General &amp; Admin -  General Administration - Business Analyst</t>
  </si>
  <si>
    <t>LEON TODD</t>
  </si>
  <si>
    <t>LEWIS DAVID</t>
  </si>
  <si>
    <t>LIGGINS CHRIS</t>
  </si>
  <si>
    <t>LIPRINI DEBORAH</t>
  </si>
  <si>
    <t>33 9am 6hrs</t>
  </si>
  <si>
    <t>LYONS NEIL</t>
  </si>
  <si>
    <t>37 5:15am 8hrs</t>
  </si>
  <si>
    <t>1946 - Produce - Cleaner - General Cleaner (610)</t>
  </si>
  <si>
    <t>MARKER JYE</t>
  </si>
  <si>
    <t>MARKHAM DAVID</t>
  </si>
  <si>
    <t>1937 - TC - Other Indirects - Pallet Fork *(755)</t>
  </si>
  <si>
    <t>MATTHEWS STEPHEN</t>
  </si>
  <si>
    <t>MCDONALD BRADLEY</t>
  </si>
  <si>
    <t>MCDONALD JOHN</t>
  </si>
  <si>
    <t>MCFARLANE DARREN</t>
  </si>
  <si>
    <t>1946 - Produce - Other Indirects - Pallet Fork (655)</t>
  </si>
  <si>
    <t>1946 - Produce - Receiving - Unloader (641)</t>
  </si>
  <si>
    <t>MCTAGGART STUART</t>
  </si>
  <si>
    <t>MILLAR TEENA</t>
  </si>
  <si>
    <t>MONTAGUE DESMOND</t>
  </si>
  <si>
    <t>MORONEY MAURICE</t>
  </si>
  <si>
    <t>MORSILLO MICHELLE</t>
  </si>
  <si>
    <t>NIXON STUART</t>
  </si>
  <si>
    <t>1937 - TC - Supervision - Fresh Co-ordinator (773)</t>
  </si>
  <si>
    <t>PACKER LORRAINE</t>
  </si>
  <si>
    <t>1937 - TC - Return to Work - Clean Cardboard &amp; Plastic Chiller(791)</t>
  </si>
  <si>
    <t>PENTON WAYNE</t>
  </si>
  <si>
    <t>PERSSON NIKLAS</t>
  </si>
  <si>
    <t>PETERS HELEN</t>
  </si>
  <si>
    <t>PRICE KEVIN</t>
  </si>
  <si>
    <t>PRINCE DONNA</t>
  </si>
  <si>
    <t>QUINN ANTHONY</t>
  </si>
  <si>
    <t>RADBURN AARON</t>
  </si>
  <si>
    <t>REDMOND TRENT</t>
  </si>
  <si>
    <t>REIDY OWEN</t>
  </si>
  <si>
    <t>RIGBY PATRICIA</t>
  </si>
  <si>
    <t>ROBBINS ANDREW</t>
  </si>
  <si>
    <t>RODRICK SUSAN</t>
  </si>
  <si>
    <t>Rose Adam</t>
  </si>
  <si>
    <t>ROSE EVERTON</t>
  </si>
  <si>
    <t>33 7am 6hrs</t>
  </si>
  <si>
    <t>SCHUEMAKER DAVID</t>
  </si>
  <si>
    <t>SENTER MEGAN</t>
  </si>
  <si>
    <t>1965 - General &amp; Admin - SHE - Manager</t>
  </si>
  <si>
    <t>1946 - Produce - Systems Inventory - Inventory Assistant *</t>
  </si>
  <si>
    <t>SHAKESPEARE KELLY</t>
  </si>
  <si>
    <t>SHARP CHRISTOPHER</t>
  </si>
  <si>
    <t>SHEPHARD CAMERON</t>
  </si>
  <si>
    <t>SHORT TREVOR</t>
  </si>
  <si>
    <t>1933 - Ambient - Order Selection - Layer Picker Hauler</t>
  </si>
  <si>
    <t>SKUSE BRIAN</t>
  </si>
  <si>
    <t>SMEDES FRIEDRIK</t>
  </si>
  <si>
    <t>SMITH IAN</t>
  </si>
  <si>
    <t>1965 - General &amp; Admin -  Systems - Systems Manager</t>
  </si>
  <si>
    <t>SMITH MAURICE</t>
  </si>
  <si>
    <t>1946 - Produce - Order Selection - Produce Hauler</t>
  </si>
  <si>
    <t>SONTER JUSTIN</t>
  </si>
  <si>
    <t>SPEERS PAMELA</t>
  </si>
  <si>
    <t>1946 - Produce - Supervision - Team Co-ordinator Receiving</t>
  </si>
  <si>
    <t>STANLEY JEMMA</t>
  </si>
  <si>
    <t>STAPLETON BELINDA</t>
  </si>
  <si>
    <t>STAPLETON SHARON</t>
  </si>
  <si>
    <t>Transport</t>
  </si>
  <si>
    <t>STARR LIAM</t>
  </si>
  <si>
    <t>STEELE WARREN</t>
  </si>
  <si>
    <t>1937 - TC - Receiving - Unloader (741)</t>
  </si>
  <si>
    <t>SWINFIELD JOHN</t>
  </si>
  <si>
    <t>TE WAAKA WALKER RIKI</t>
  </si>
  <si>
    <t>TE WHAITI RENETA</t>
  </si>
  <si>
    <t>TELFER KYLE</t>
  </si>
  <si>
    <t>THEW JOHN</t>
  </si>
  <si>
    <t>THOMPSON CRAIG</t>
  </si>
  <si>
    <t>THOMPSON DARRYLL</t>
  </si>
  <si>
    <t>THOMPSON LINDA</t>
  </si>
  <si>
    <t>37 5am 10hrs</t>
  </si>
  <si>
    <t>1937 - TC - Supervision - Receiving Co-ordinator (742)</t>
  </si>
  <si>
    <t>TREW LARRY</t>
  </si>
  <si>
    <t>Late Afternoon</t>
  </si>
  <si>
    <t>TWEEDIE NEIL</t>
  </si>
  <si>
    <t>UNICOMB MICHAEL</t>
  </si>
  <si>
    <t>VALENTINE DEREK</t>
  </si>
  <si>
    <t>VANDEVEN JOSH</t>
  </si>
  <si>
    <t>VIKIS DAVID</t>
  </si>
  <si>
    <t>WALKER STEVEN</t>
  </si>
  <si>
    <t>WALSH KEITH</t>
  </si>
  <si>
    <t>WALSH PHILIP</t>
  </si>
  <si>
    <t xml:space="preserve">WARWICK BRENDAN </t>
  </si>
  <si>
    <t>WATSON MICHELLE</t>
  </si>
  <si>
    <t>WAY ANTHONY</t>
  </si>
  <si>
    <t>WEIR WILLIAM</t>
  </si>
  <si>
    <t>37 7am 8hrs</t>
  </si>
  <si>
    <t>WESTCOTT JOHN</t>
  </si>
  <si>
    <t>WILKINSON CHARMAINE</t>
  </si>
  <si>
    <t>WILLIAMS JASON</t>
  </si>
  <si>
    <t>WILLIS SHANE</t>
  </si>
  <si>
    <t>WILLNER VIRGINIA</t>
  </si>
  <si>
    <t>WISELY BRENDAN</t>
  </si>
  <si>
    <t>YOUNG JULIE</t>
  </si>
  <si>
    <t>1933 - Ambient -  Supervision - Sec and Conf Co-ordinator(376)</t>
  </si>
  <si>
    <t>ZORZAN GEORGE</t>
  </si>
  <si>
    <t>1933 - Ambient -  Supervision - AM4 and Liquor Co-ordinator (374)</t>
  </si>
  <si>
    <t>C/H Potted Colour Bowl 42ea</t>
  </si>
  <si>
    <t>G/L Potted Lavender Pdq 42ea</t>
  </si>
  <si>
    <t>G/L Potted Kangaroo Paw Pdq 49ea</t>
  </si>
  <si>
    <t>C/H Potted Herb Garden 25ea</t>
  </si>
  <si>
    <t>C/H Potted Lettuce Garden 25ea</t>
  </si>
  <si>
    <t>C/H Potted Lily Pilly Pdq 36ea</t>
  </si>
  <si>
    <t>C/H Potted Sweetie Stock PDQ 42ea</t>
  </si>
  <si>
    <t>C/H Potted Mixed 2 36ea</t>
  </si>
  <si>
    <t>Heatbeads 10KG HB100AU</t>
  </si>
  <si>
    <t>Pinebark Lscpe 50L 221610/421610 Pine</t>
  </si>
  <si>
    <t>Pot Mix O/Brnd 30L 220810/420810 Nqv</t>
  </si>
  <si>
    <t>Premium Potmix 30L 31414REDTICK</t>
  </si>
  <si>
    <t>Rocher T30 Pdq 7792779B PDQ B</t>
  </si>
  <si>
    <t>G/L Potted Indoor A Medium 36ea</t>
  </si>
  <si>
    <t>G/L Potted Kale Pdq 144ea</t>
  </si>
  <si>
    <t>WW Rainbow Pallet A</t>
  </si>
  <si>
    <t>WW Rainbow Pallet C</t>
  </si>
  <si>
    <t>WW Rainbow Pallet B</t>
  </si>
  <si>
    <t>WW Rainbow Pallet D</t>
  </si>
  <si>
    <t>WW Rainbow Pallet F</t>
  </si>
  <si>
    <t>WW Rainbow Pallet E</t>
  </si>
  <si>
    <t>G/L Potted Grass Assorted 36 ea</t>
  </si>
  <si>
    <t>C/H Potted Boronia Pdq 49ea</t>
  </si>
  <si>
    <t>ALLAN KERRIN</t>
  </si>
  <si>
    <t>1937 - TC - Despatch - Dekitt (785)</t>
  </si>
  <si>
    <t>BEHRENDT PHILLIP</t>
  </si>
  <si>
    <t>BICKERTON JASON</t>
  </si>
  <si>
    <t>Bishop Stephen</t>
  </si>
  <si>
    <t>1933 - Ambient - Training - Trainee (360)</t>
  </si>
  <si>
    <t>BLUNDEN NATHAN</t>
  </si>
  <si>
    <t>BOYD JAMIE</t>
  </si>
  <si>
    <t>CO</t>
  </si>
  <si>
    <t>Breceljnik Mark</t>
  </si>
  <si>
    <t>BROOKE ROGER</t>
  </si>
  <si>
    <t>37 4am 10hrs</t>
  </si>
  <si>
    <t>BROWNING BEN</t>
  </si>
  <si>
    <t>BUCKLAND DAVID</t>
  </si>
  <si>
    <t>CASSON STEVEN</t>
  </si>
  <si>
    <t>CHAMBERLAIN ADAM</t>
  </si>
  <si>
    <t>1933 - Ambient - Other Indirects - HSR Duties</t>
  </si>
  <si>
    <t>CONWAY BRETT</t>
  </si>
  <si>
    <t>CRAWLEY LINDA</t>
  </si>
  <si>
    <t>DAVIDSON TIMOTHY</t>
  </si>
  <si>
    <t>DAVIES GARRETH</t>
  </si>
  <si>
    <t>46 1.30am 8hrs</t>
  </si>
  <si>
    <t>DE SOUZA ASHLEY</t>
  </si>
  <si>
    <t>DEACON BLAKE</t>
  </si>
  <si>
    <t>DEWAR AMANDA</t>
  </si>
  <si>
    <t>DIGGELMAN ROWIE</t>
  </si>
  <si>
    <t>DIGGELMAN STEPHEN</t>
  </si>
  <si>
    <t>DOUGLAS GAVIN</t>
  </si>
  <si>
    <t>DURWARD QUINTIN</t>
  </si>
  <si>
    <t>EDWARDS KIM</t>
  </si>
  <si>
    <t>ELMS MICHAEL</t>
  </si>
  <si>
    <t>FAAFOUINA STANFORD</t>
  </si>
  <si>
    <t>FRANKLAND GREGORY</t>
  </si>
  <si>
    <t>FRESSARD PATRICIA</t>
  </si>
  <si>
    <t>GIBSON JOSHUA</t>
  </si>
  <si>
    <t>GOMES ERAJ</t>
  </si>
  <si>
    <t>GRAHAM CORRINA</t>
  </si>
  <si>
    <t>GRAY ROBERT</t>
  </si>
  <si>
    <t>GREGORY-LUNN BEAU</t>
  </si>
  <si>
    <t>GRIFFITS CORI</t>
  </si>
  <si>
    <t>HARPER JOEL</t>
  </si>
  <si>
    <t>1933 - Ambient - Return to Work - CLS cut Inners (398)</t>
  </si>
  <si>
    <t>HOLMES JEFFERY</t>
  </si>
  <si>
    <t>HUTCHINSON TODD</t>
  </si>
  <si>
    <t>IPSEN LEANNE</t>
  </si>
  <si>
    <t>37 9.30am 10hrs</t>
  </si>
  <si>
    <t>JACKSON KATIE</t>
  </si>
  <si>
    <t>JENKINS BRUCE</t>
  </si>
  <si>
    <t>KANE BELINDA</t>
  </si>
  <si>
    <t>KELLY BENJAMIN</t>
  </si>
  <si>
    <t xml:space="preserve">KERWIN SEAN </t>
  </si>
  <si>
    <t>LAMONT IAN</t>
  </si>
  <si>
    <t>LARRAURI MARIA</t>
  </si>
  <si>
    <t>LEONARD NICOLE</t>
  </si>
  <si>
    <t>LEWIN ANTHONY</t>
  </si>
  <si>
    <t>LOCKREY JOHN</t>
  </si>
  <si>
    <t>LONGOBARDI TRACEY</t>
  </si>
  <si>
    <t xml:space="preserve">MAHER ALLAN </t>
  </si>
  <si>
    <t>MAHER ELEANOR</t>
  </si>
  <si>
    <t>MANWARING JASON</t>
  </si>
  <si>
    <t>MARTIN JEREMY</t>
  </si>
  <si>
    <t>MARTINAC CHARMAINE</t>
  </si>
  <si>
    <t>MCALLISTER HUGH</t>
  </si>
  <si>
    <t>MEACHEAM CARL</t>
  </si>
  <si>
    <t>MILLER TRENT</t>
  </si>
  <si>
    <t>MILOS NED</t>
  </si>
  <si>
    <t>MONTGOMERY PAUL</t>
  </si>
  <si>
    <t>1933 - Ambient - Training - Workplace Coach (365)</t>
  </si>
  <si>
    <t>Morris Stephen</t>
  </si>
  <si>
    <t>NEW RYAN</t>
  </si>
  <si>
    <t>O'CONNOR WAYNE</t>
  </si>
  <si>
    <t>1937 - TC - Supervision - Shorts Management (790)</t>
  </si>
  <si>
    <t>PLATT STEVEN</t>
  </si>
  <si>
    <t>PROCTER DOROTHY</t>
  </si>
  <si>
    <t>PROUDLOVE STEPHEN</t>
  </si>
  <si>
    <t>QUIGG ROBERT</t>
  </si>
  <si>
    <t>33 7am 10hrs</t>
  </si>
  <si>
    <t>RAFTON WADE</t>
  </si>
  <si>
    <t>RAGEN JEFFREY</t>
  </si>
  <si>
    <t>RANDLE ALEXANDER</t>
  </si>
  <si>
    <t>37 2am 10hrs</t>
  </si>
  <si>
    <t>ROTONDO DANIEL</t>
  </si>
  <si>
    <t>RYAN BEN</t>
  </si>
  <si>
    <t>SALES STEVEN</t>
  </si>
  <si>
    <t>SALVADOR ELSTON</t>
  </si>
  <si>
    <t>33 5am 6hrs</t>
  </si>
  <si>
    <t>SENTER ROBERT</t>
  </si>
  <si>
    <t>SOUTAR JESSE</t>
  </si>
  <si>
    <t>SOUTHWELL CASSH</t>
  </si>
  <si>
    <t>STEWART SUZANNE</t>
  </si>
  <si>
    <t>STUART DEAN</t>
  </si>
  <si>
    <t>TAHM JAMES</t>
  </si>
  <si>
    <t>THOMSON JOEL</t>
  </si>
  <si>
    <t>TRIVALIC ALEKSANDAR</t>
  </si>
  <si>
    <t>1946 - Produce - Supervision - Team Co-ordinator Despatch(679)</t>
  </si>
  <si>
    <t>WATSON STEVEN</t>
  </si>
  <si>
    <t>WEEKES NATHAN</t>
  </si>
  <si>
    <t>WRIGHT DEBORAH</t>
  </si>
  <si>
    <t>YORK DOUGLAS</t>
  </si>
  <si>
    <t>33 2pm 10hrs</t>
  </si>
  <si>
    <t>ZOMMERS PETER</t>
  </si>
  <si>
    <t>ADAMS BILLY-JACK</t>
  </si>
  <si>
    <t>AITKEN DAVID</t>
  </si>
  <si>
    <t>ANDERSON SIMON</t>
  </si>
  <si>
    <t>AVERY ALLEN</t>
  </si>
  <si>
    <t>AXISA DANIELLE</t>
  </si>
  <si>
    <t>1937 - TC - Cleaner - Reclaim (715)</t>
  </si>
  <si>
    <t>BATH BRENDAN</t>
  </si>
  <si>
    <t>46 11:15am 6hrs</t>
  </si>
  <si>
    <t>BELL ADAM</t>
  </si>
  <si>
    <t>BEST NICHOLAS</t>
  </si>
  <si>
    <t>BEVERIDGE DEREK</t>
  </si>
  <si>
    <t>BRIDGETT REBECCA</t>
  </si>
  <si>
    <t>BROOKS TERRY</t>
  </si>
  <si>
    <t>BROWN JARROD</t>
  </si>
  <si>
    <t>BROWNE MATTHEW</t>
  </si>
  <si>
    <t>46 9am</t>
  </si>
  <si>
    <t>BUCKLEY ETHAN</t>
  </si>
  <si>
    <t>BUGG SHARON</t>
  </si>
  <si>
    <t>COLLESS FRANCES</t>
  </si>
  <si>
    <t>CROWTHER CHRIS</t>
  </si>
  <si>
    <t>DARKE RYAN</t>
  </si>
  <si>
    <t>DAVINO ROCCO</t>
  </si>
  <si>
    <t>DEAN JOHN</t>
  </si>
  <si>
    <t>DENNISS PETER</t>
  </si>
  <si>
    <t>DEVLIN KIM</t>
  </si>
  <si>
    <t>DIPPEL RICKY</t>
  </si>
  <si>
    <t>1933 - Ambient - Order Selection - AM 2 Picker</t>
  </si>
  <si>
    <t>DONNELLY KATARINA</t>
  </si>
  <si>
    <t>DONOVAN CAMERON</t>
  </si>
  <si>
    <t>DOODY MICHAEL</t>
  </si>
  <si>
    <t>1937 - TC - Return to Work - Seated Duties - (790) See Comments</t>
  </si>
  <si>
    <t xml:space="preserve">DRAPER ADAM </t>
  </si>
  <si>
    <t>DUNLOP MICHAEL</t>
  </si>
  <si>
    <t>1946 - Produce - Return to Work - Restricted Duties</t>
  </si>
  <si>
    <t>Dunn Corey</t>
  </si>
  <si>
    <t>ENGLAND PHILLIP</t>
  </si>
  <si>
    <t>33 5:15am 8hrs</t>
  </si>
  <si>
    <t>Fatiaki Cepreano</t>
  </si>
  <si>
    <t>FLEMING DEAN</t>
  </si>
  <si>
    <t>GORDON BRENDAN</t>
  </si>
  <si>
    <t>GOULDER LEONIE</t>
  </si>
  <si>
    <t>GRAHAM DANIEL</t>
  </si>
  <si>
    <t>GRIFFITH SEAN</t>
  </si>
  <si>
    <t>Hancock Ashley</t>
  </si>
  <si>
    <t>HARDER ROBERT</t>
  </si>
  <si>
    <t>HARRISON MATTHEW</t>
  </si>
  <si>
    <t>HAWKINS PAUL</t>
  </si>
  <si>
    <t>HOFLAND NOVA</t>
  </si>
  <si>
    <t>HOLMES CAMERON</t>
  </si>
  <si>
    <t>HOLMESBY GREG</t>
  </si>
  <si>
    <t>HOOK BARRY</t>
  </si>
  <si>
    <t>HUNTER MARK</t>
  </si>
  <si>
    <t>JACKSON JOSHUA</t>
  </si>
  <si>
    <t>JARMAN DAVID</t>
  </si>
  <si>
    <t>JEFFRIES PHILLIP</t>
  </si>
  <si>
    <t>33 9:30am 8hrs</t>
  </si>
  <si>
    <t>JOSEPH GREGORY</t>
  </si>
  <si>
    <t>KELLY PETER</t>
  </si>
  <si>
    <t>1933 - Ambient -  Supervision - CLS Co-ordinator (375)</t>
  </si>
  <si>
    <t>KERSHAW NATHAN</t>
  </si>
  <si>
    <t>KIRK BIANCA</t>
  </si>
  <si>
    <t>KOPINJA MICHAEL</t>
  </si>
  <si>
    <t>LABART FABIAN</t>
  </si>
  <si>
    <t>LAHIFF BRYCE</t>
  </si>
  <si>
    <t>1937 - TC - Other Indirects - Equipment Swap</t>
  </si>
  <si>
    <t>LENTON STEPHEN</t>
  </si>
  <si>
    <t>MACCLURE ADAM</t>
  </si>
  <si>
    <t>MACKINNON STUART</t>
  </si>
  <si>
    <t>MAGUIRE DAVID</t>
  </si>
  <si>
    <t>MAHER JAMES</t>
  </si>
  <si>
    <t>MALONE SEAN</t>
  </si>
  <si>
    <t>MARCH LIAM</t>
  </si>
  <si>
    <t>MARINER ELYIAS</t>
  </si>
  <si>
    <t>MARKS GLEN</t>
  </si>
  <si>
    <t>MARTIN LEX</t>
  </si>
  <si>
    <t>MCDOUGALL CORAL</t>
  </si>
  <si>
    <t>MCKAY SCOTT</t>
  </si>
  <si>
    <t>MOFFAT MATTHEW</t>
  </si>
  <si>
    <t>MURRAY BRETT</t>
  </si>
  <si>
    <t>NEAVE CAMERON</t>
  </si>
  <si>
    <t>NOLAN BRENDAN</t>
  </si>
  <si>
    <t>OEHM RYAN</t>
  </si>
  <si>
    <t>O'HARA BRADLEY</t>
  </si>
  <si>
    <t>O'KANE EDEN</t>
  </si>
  <si>
    <t>PARKER JOHN</t>
  </si>
  <si>
    <t>PHILLIPS NICK</t>
  </si>
  <si>
    <t>PIRINI DANIEL</t>
  </si>
  <si>
    <t>PRITCHARD TROY</t>
  </si>
  <si>
    <t>QUOY GREG</t>
  </si>
  <si>
    <t>READER JACK</t>
  </si>
  <si>
    <t>RILEY BRENDAN</t>
  </si>
  <si>
    <t>ROBERTSON MATTHEW</t>
  </si>
  <si>
    <t>ROSE MICHAEL</t>
  </si>
  <si>
    <t>SCARBOROUGH LYNN</t>
  </si>
  <si>
    <t>SCHWANKE MONICA</t>
  </si>
  <si>
    <t>SIMPSON ANTONY</t>
  </si>
  <si>
    <t>SINCLAIR DEREK</t>
  </si>
  <si>
    <t>SMITH BRIAN</t>
  </si>
  <si>
    <t>SOMERFORD-DIPLOCK JACKSON</t>
  </si>
  <si>
    <t>SPICER MICHAEL</t>
  </si>
  <si>
    <t>SPOONER JAKE</t>
  </si>
  <si>
    <t>1946 - Produce - Supervision - Shorts Management (630)</t>
  </si>
  <si>
    <t>STUDDERT GAVIN</t>
  </si>
  <si>
    <t>1933 - Ambient - Despatch  - Clerk</t>
  </si>
  <si>
    <t>SZEDLAK ADAM</t>
  </si>
  <si>
    <t>TABONE RICHARD</t>
  </si>
  <si>
    <t>TAYLOR MATTHEW</t>
  </si>
  <si>
    <t>TEWHAU TIMI</t>
  </si>
  <si>
    <t>THOMAS ADAM</t>
  </si>
  <si>
    <t>TODHUNTER GARY</t>
  </si>
  <si>
    <t>TOUGH JODI</t>
  </si>
  <si>
    <t>1937 - TC - Other Indirects - Cycle Counting</t>
  </si>
  <si>
    <t>WEBB ANDREW</t>
  </si>
  <si>
    <t>1946 - Produce - Other Indirects - Equipment Swap</t>
  </si>
  <si>
    <t>1933 - Ambient - Other Indirects - (Add Comments)</t>
  </si>
  <si>
    <t>WHEELER KERRY</t>
  </si>
  <si>
    <t>WHITEMAN SCOTT</t>
  </si>
  <si>
    <t>WILKINS DARRYL</t>
  </si>
  <si>
    <t>WILLIAMS ADAM</t>
  </si>
  <si>
    <t>WILLIAMS LEANNE</t>
  </si>
  <si>
    <t>WINSTANLEY STEVE</t>
  </si>
  <si>
    <t>1946 - Produce - Other Indirects - Turn Pallet (657)</t>
  </si>
  <si>
    <t>XUEREB MICHAEL</t>
  </si>
  <si>
    <t>JUMBO PLUSH 100 cm DINO OR DRAGON</t>
  </si>
  <si>
    <t>C/H Potted Palm Medium 42ea</t>
  </si>
  <si>
    <t>C/H Potted Magnolia 36ea</t>
  </si>
  <si>
    <t>Finish Dishes 4 Way Bin Display</t>
  </si>
  <si>
    <t>Rainbow Pallet 1</t>
  </si>
  <si>
    <t>Rainbow Pallet 2</t>
  </si>
  <si>
    <t>Rainbow Pallet 3</t>
  </si>
  <si>
    <t>Rainbow Pallet 4</t>
  </si>
  <si>
    <t>Rainbow Pallet 5</t>
  </si>
  <si>
    <t>Rainbow Pallet 6</t>
  </si>
  <si>
    <t>Rainbow Pallet 7</t>
  </si>
  <si>
    <t>Rainbow Pallet 8</t>
  </si>
  <si>
    <t>Rainbow Pallet 9</t>
  </si>
  <si>
    <t>Rainbow Pallet 10</t>
  </si>
  <si>
    <t>Rainbow Pallet 11</t>
  </si>
  <si>
    <t>Rainbw Pllet 12</t>
  </si>
  <si>
    <t>Rainbw Pallet 13</t>
  </si>
  <si>
    <t>Rainbw Pllet 14</t>
  </si>
  <si>
    <t>Rainbw Pallt 15</t>
  </si>
  <si>
    <t>Rainbw Pallt 16</t>
  </si>
  <si>
    <t>Rainbw Pallt 17</t>
  </si>
  <si>
    <t>Rainbw Pallt 18</t>
  </si>
  <si>
    <t>Rainbw Pallt 19</t>
  </si>
  <si>
    <t>Rainbw Pallt 20</t>
  </si>
  <si>
    <t>Rainbow Pallet 30</t>
  </si>
  <si>
    <t>Rainbow Pallet 31</t>
  </si>
  <si>
    <t>Rainbow Pallet 32</t>
  </si>
  <si>
    <t>Rainbow Pallet 33</t>
  </si>
  <si>
    <t>Rainbow Pallet 34</t>
  </si>
  <si>
    <t>Rainbow Pallet 35</t>
  </si>
  <si>
    <t>Rainbow Pallet 36</t>
  </si>
  <si>
    <t>Rainbow Pallet 37</t>
  </si>
  <si>
    <t>Rainbow Pallet 38</t>
  </si>
  <si>
    <t>Rainbow Pallet 39</t>
  </si>
  <si>
    <t>Rainbow Pallet 40</t>
  </si>
  <si>
    <t>Rainbow Pallet 41</t>
  </si>
  <si>
    <t>Rainbow Pallet 42</t>
  </si>
  <si>
    <t>Rainbow Pallet 43</t>
  </si>
  <si>
    <t>Rainbow Pallet 44</t>
  </si>
  <si>
    <t>Rainbow Pallet 45</t>
  </si>
  <si>
    <t>Rainbow Pallet 46</t>
  </si>
  <si>
    <t>Rainbow Pallet 47</t>
  </si>
  <si>
    <t>Rainbow Pallet 48</t>
  </si>
  <si>
    <t>Rainbow Pallet 49</t>
  </si>
  <si>
    <t>Rainbow Pallet 21</t>
  </si>
  <si>
    <t>Rainbow Pallet 22</t>
  </si>
  <si>
    <t>Rainbow Pallet 23</t>
  </si>
  <si>
    <t>Rainbow Pallet 24</t>
  </si>
  <si>
    <t>Rainbow Pallet 25</t>
  </si>
  <si>
    <t>Rainbow Pallet 26</t>
  </si>
  <si>
    <t>Rainbow Pallet 27</t>
  </si>
  <si>
    <t>Rainbow Pallet 28</t>
  </si>
  <si>
    <t>Rainbow Pallet 29</t>
  </si>
  <si>
    <t>Rainbow Pallet 50</t>
  </si>
  <si>
    <t>Rainbow Pallet 51</t>
  </si>
  <si>
    <t>Rainbow Pallet 52</t>
  </si>
  <si>
    <t>Rainbow Pallet 53</t>
  </si>
  <si>
    <t>Rainbow Pallet 54</t>
  </si>
  <si>
    <t>Rainbow Pallet 55</t>
  </si>
  <si>
    <t>Rainbow Pallet 56</t>
  </si>
  <si>
    <t>Rainbow Pallet 57</t>
  </si>
  <si>
    <t>Rainbow Pallet 58</t>
  </si>
  <si>
    <t>Rainbow Pallet 59</t>
  </si>
  <si>
    <t>Rainbow Pallet 60</t>
  </si>
  <si>
    <t>Rainbow Pallet 61</t>
  </si>
  <si>
    <t>Rainbow Pallet 62</t>
  </si>
  <si>
    <t>Rainbow Pallet 63</t>
  </si>
  <si>
    <t>Rainbow Pallet 64</t>
  </si>
  <si>
    <t>Rainbow Pallet 65</t>
  </si>
  <si>
    <t>Rainbow Pallet 66</t>
  </si>
  <si>
    <t>G/L Potted Rosemary Pdq 36ea</t>
  </si>
  <si>
    <t>Apple Fuji 180kg</t>
  </si>
  <si>
    <t>Potato Glddlight Brsh 4Kg 50EA</t>
  </si>
  <si>
    <t>C/H Potted Gardenia Medium 36ea</t>
  </si>
  <si>
    <t>G/L Potted Indoor Plant Med 49ea</t>
  </si>
  <si>
    <t>G/L POTTED ASSORTED MIX MED 81ea</t>
  </si>
  <si>
    <t>C/H POTTED FICUS MIDNIGHT 20ea</t>
  </si>
  <si>
    <t>C/H Potted Mixed 1 36ea</t>
  </si>
  <si>
    <t>Colgate Oral Care Train Display</t>
  </si>
  <si>
    <t>Mon, 21 Sep </t>
  </si>
  <si>
    <t>Tue, 22 Sep </t>
  </si>
  <si>
    <t>Wed, 23 Sep </t>
  </si>
  <si>
    <t>Thu, 24 Sep </t>
  </si>
  <si>
    <t>Fri, 25 Sep </t>
  </si>
  <si>
    <t>Sat, 26 Sep </t>
  </si>
  <si>
    <t>Sun, 27 Sep </t>
  </si>
  <si>
    <t>TOIL - PH Payout</t>
  </si>
  <si>
    <t>TOIL - PH taken - Not Rostered</t>
  </si>
</sst>
</file>

<file path=xl/styles.xml><?xml version="1.0" encoding="utf-8"?>
<styleSheet xmlns="http://schemas.openxmlformats.org/spreadsheetml/2006/main">
  <numFmts count="1">
    <numFmt numFmtId="164" formatCode="hh:mm:ss;@"/>
  </numFmts>
  <fonts count="10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b/>
      <sz val="8"/>
      <color rgb="FF006699"/>
      <name val="Tahoma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BFE5B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E5B8B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BFE5BF"/>
      </bottom>
      <diagonal/>
    </border>
    <border>
      <left/>
      <right/>
      <top/>
      <bottom style="mediumDashed">
        <color rgb="FFBFE5BF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1" xfId="0" applyFont="1" applyBorder="1"/>
    <xf numFmtId="164" fontId="0" fillId="0" borderId="0" xfId="0" applyNumberFormat="1"/>
    <xf numFmtId="164" fontId="1" fillId="0" borderId="1" xfId="0" applyNumberFormat="1" applyFont="1" applyBorder="1"/>
    <xf numFmtId="21" fontId="0" fillId="0" borderId="0" xfId="0" applyNumberFormat="1"/>
    <xf numFmtId="1" fontId="1" fillId="0" borderId="1" xfId="0" applyNumberFormat="1" applyFont="1" applyBorder="1"/>
    <xf numFmtId="1" fontId="0" fillId="0" borderId="0" xfId="0" applyNumberFormat="1"/>
    <xf numFmtId="14" fontId="0" fillId="0" borderId="0" xfId="0" applyNumberFormat="1"/>
    <xf numFmtId="17" fontId="0" fillId="0" borderId="0" xfId="0" applyNumberFormat="1"/>
    <xf numFmtId="2" fontId="0" fillId="0" borderId="0" xfId="0" applyNumberFormat="1"/>
    <xf numFmtId="2" fontId="1" fillId="0" borderId="1" xfId="0" applyNumberFormat="1" applyFont="1" applyBorder="1"/>
    <xf numFmtId="22" fontId="0" fillId="0" borderId="0" xfId="0" applyNumberFormat="1"/>
    <xf numFmtId="0" fontId="5" fillId="5" borderId="2" xfId="0" applyFont="1" applyFill="1" applyBorder="1" applyAlignment="1">
      <alignment wrapText="1"/>
    </xf>
    <xf numFmtId="0" fontId="7" fillId="5" borderId="2" xfId="0" applyFont="1" applyFill="1" applyBorder="1" applyAlignment="1">
      <alignment wrapText="1"/>
    </xf>
    <xf numFmtId="0" fontId="7" fillId="5" borderId="3" xfId="0" applyFont="1" applyFill="1" applyBorder="1" applyAlignment="1">
      <alignment wrapText="1"/>
    </xf>
    <xf numFmtId="0" fontId="8" fillId="0" borderId="2" xfId="0" applyFont="1" applyBorder="1" applyAlignment="1">
      <alignment horizontal="right" wrapText="1"/>
    </xf>
    <xf numFmtId="0" fontId="8" fillId="0" borderId="2" xfId="0" applyFont="1" applyBorder="1" applyAlignment="1">
      <alignment wrapText="1"/>
    </xf>
    <xf numFmtId="0" fontId="9" fillId="6" borderId="3" xfId="0" applyFont="1" applyFill="1" applyBorder="1" applyAlignment="1">
      <alignment horizontal="right" wrapText="1"/>
    </xf>
    <xf numFmtId="0" fontId="9" fillId="0" borderId="2" xfId="0" applyFont="1" applyBorder="1" applyAlignment="1">
      <alignment wrapText="1"/>
    </xf>
    <xf numFmtId="0" fontId="9" fillId="7" borderId="3" xfId="0" applyFont="1" applyFill="1" applyBorder="1" applyAlignment="1">
      <alignment horizontal="right" wrapText="1"/>
    </xf>
    <xf numFmtId="0" fontId="9" fillId="8" borderId="3" xfId="0" applyFont="1" applyFill="1" applyBorder="1" applyAlignment="1">
      <alignment horizontal="right" wrapText="1"/>
    </xf>
    <xf numFmtId="0" fontId="9" fillId="0" borderId="2" xfId="0" applyFont="1" applyBorder="1" applyAlignment="1">
      <alignment horizontal="right" wrapText="1"/>
    </xf>
    <xf numFmtId="0" fontId="9" fillId="0" borderId="2" xfId="0" applyFont="1" applyBorder="1" applyAlignment="1">
      <alignment horizontal="left" wrapText="1"/>
    </xf>
    <xf numFmtId="0" fontId="5" fillId="0" borderId="2" xfId="0" applyFont="1" applyBorder="1" applyAlignment="1">
      <alignment wrapText="1"/>
    </xf>
    <xf numFmtId="0" fontId="5" fillId="7" borderId="3" xfId="0" applyFont="1" applyFill="1" applyBorder="1" applyAlignment="1">
      <alignment wrapText="1"/>
    </xf>
    <xf numFmtId="0" fontId="5" fillId="9" borderId="2" xfId="0" applyFont="1" applyFill="1" applyBorder="1" applyAlignment="1">
      <alignment wrapText="1"/>
    </xf>
    <xf numFmtId="0" fontId="5" fillId="6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0" fontId="5" fillId="2" borderId="2" xfId="0" applyFont="1" applyFill="1" applyBorder="1" applyAlignment="1">
      <alignment horizontal="right" wrapText="1"/>
    </xf>
    <xf numFmtId="0" fontId="6" fillId="2" borderId="4" xfId="0" applyFont="1" applyFill="1" applyBorder="1" applyAlignment="1">
      <alignment horizontal="left" wrapText="1"/>
    </xf>
    <xf numFmtId="0" fontId="4" fillId="3" borderId="5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4" fillId="4" borderId="5" xfId="0" applyFont="1" applyFill="1" applyBorder="1" applyAlignment="1">
      <alignment horizontal="left" vertical="top" wrapText="1"/>
    </xf>
    <xf numFmtId="4" fontId="4" fillId="4" borderId="5" xfId="0" applyNumberFormat="1" applyFont="1" applyFill="1" applyBorder="1" applyAlignment="1">
      <alignment horizontal="left" vertical="top" wrapText="1"/>
    </xf>
    <xf numFmtId="3" fontId="4" fillId="3" borderId="5" xfId="0" applyNumberFormat="1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B2:K18"/>
  <sheetViews>
    <sheetView tabSelected="1" workbookViewId="0">
      <selection activeCell="A2" sqref="A2"/>
    </sheetView>
  </sheetViews>
  <sheetFormatPr defaultRowHeight="12.75"/>
  <cols>
    <col min="3" max="3" width="10.140625" bestFit="1" customWidth="1"/>
    <col min="7" max="8" width="18.140625" bestFit="1" customWidth="1"/>
  </cols>
  <sheetData>
    <row r="2" spans="2:11">
      <c r="B2" t="s">
        <v>583</v>
      </c>
      <c r="C2" s="7">
        <v>42271</v>
      </c>
      <c r="D2">
        <f>WEEKDAY(C2,2)</f>
        <v>4</v>
      </c>
      <c r="G2" s="7"/>
      <c r="H2" s="8"/>
      <c r="I2" s="2"/>
      <c r="J2" s="2"/>
      <c r="K2" s="9"/>
    </row>
    <row r="3" spans="2:11">
      <c r="B3" s="7"/>
      <c r="G3" s="8"/>
      <c r="H3" s="8"/>
    </row>
    <row r="4" spans="2:11">
      <c r="G4" s="8"/>
      <c r="H4" s="8"/>
    </row>
    <row r="5" spans="2:11">
      <c r="G5" s="8"/>
      <c r="H5" s="8"/>
    </row>
    <row r="6" spans="2:11">
      <c r="B6" t="s">
        <v>56</v>
      </c>
      <c r="G6" s="8"/>
      <c r="H6" s="8"/>
    </row>
    <row r="7" spans="2:11">
      <c r="B7" t="s">
        <v>57</v>
      </c>
      <c r="G7" s="8"/>
      <c r="H7" s="8"/>
    </row>
    <row r="8" spans="2:11">
      <c r="B8" t="s">
        <v>58</v>
      </c>
      <c r="G8" s="8"/>
      <c r="H8" s="8"/>
    </row>
    <row r="9" spans="2:11">
      <c r="B9" t="s">
        <v>713</v>
      </c>
      <c r="G9" s="8"/>
      <c r="H9" s="8"/>
    </row>
    <row r="10" spans="2:11">
      <c r="B10" t="s">
        <v>714</v>
      </c>
      <c r="G10" s="8"/>
      <c r="H10" s="8"/>
    </row>
    <row r="11" spans="2:11">
      <c r="B11" t="s">
        <v>715</v>
      </c>
      <c r="G11" s="8"/>
      <c r="H11" s="8"/>
    </row>
    <row r="12" spans="2:11">
      <c r="B12" t="s">
        <v>716</v>
      </c>
      <c r="G12" s="8"/>
      <c r="H12" s="8"/>
    </row>
    <row r="14" spans="2:11">
      <c r="F14" s="4"/>
    </row>
    <row r="15" spans="2:11">
      <c r="F15" s="4"/>
    </row>
    <row r="17" spans="2:2">
      <c r="B17" t="s">
        <v>717</v>
      </c>
    </row>
    <row r="18" spans="2:2">
      <c r="B18" t="s">
        <v>718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D12937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1" max="11" width="12.5703125" style="2" bestFit="1" customWidth="1"/>
    <col min="12" max="12" width="11.7109375" style="2" bestFit="1" customWidth="1"/>
    <col min="22" max="22" width="12" style="6" customWidth="1"/>
    <col min="50" max="50" width="9.140625" style="6"/>
    <col min="52" max="52" width="10.7109375" style="6" bestFit="1" customWidth="1"/>
    <col min="54" max="54" width="9.140625" style="6"/>
    <col min="55" max="55" width="9.140625" style="2"/>
  </cols>
  <sheetData>
    <row r="1" spans="1:56" s="1" customFormat="1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3" t="s">
        <v>21</v>
      </c>
      <c r="L1" s="3" t="s">
        <v>22</v>
      </c>
      <c r="M1" s="1" t="s">
        <v>23</v>
      </c>
      <c r="N1" s="1" t="s">
        <v>24</v>
      </c>
      <c r="O1" s="1" t="s">
        <v>25</v>
      </c>
      <c r="P1" s="1" t="s">
        <v>26</v>
      </c>
      <c r="Q1" s="1" t="s">
        <v>168</v>
      </c>
      <c r="R1" s="1" t="s">
        <v>27</v>
      </c>
      <c r="S1" s="1" t="s">
        <v>2</v>
      </c>
      <c r="T1" s="1" t="s">
        <v>28</v>
      </c>
      <c r="U1" s="1" t="s">
        <v>29</v>
      </c>
      <c r="V1" s="1" t="s">
        <v>30</v>
      </c>
      <c r="W1" s="5" t="s">
        <v>31</v>
      </c>
      <c r="X1" s="1" t="s">
        <v>32</v>
      </c>
      <c r="Y1" s="1" t="s">
        <v>33</v>
      </c>
      <c r="Z1" s="1" t="s">
        <v>34</v>
      </c>
      <c r="AA1" s="1" t="s">
        <v>35</v>
      </c>
      <c r="AB1" s="1" t="s">
        <v>36</v>
      </c>
      <c r="AC1" s="1" t="s">
        <v>8</v>
      </c>
      <c r="AD1" s="1" t="s">
        <v>7</v>
      </c>
      <c r="AE1" s="1" t="s">
        <v>37</v>
      </c>
      <c r="AF1" s="1" t="s">
        <v>5</v>
      </c>
      <c r="AG1" s="1" t="s">
        <v>38</v>
      </c>
      <c r="AH1" s="1" t="s">
        <v>39</v>
      </c>
      <c r="AI1" s="1" t="s">
        <v>40</v>
      </c>
      <c r="AJ1" s="1" t="s">
        <v>41</v>
      </c>
      <c r="AK1" s="1" t="s">
        <v>9</v>
      </c>
      <c r="AL1" s="1" t="s">
        <v>4</v>
      </c>
      <c r="AM1" s="1" t="s">
        <v>42</v>
      </c>
      <c r="AN1" s="1" t="s">
        <v>6</v>
      </c>
      <c r="AO1" s="1" t="s">
        <v>43</v>
      </c>
      <c r="AP1" s="1" t="s">
        <v>44</v>
      </c>
      <c r="AQ1" s="1" t="s">
        <v>10</v>
      </c>
      <c r="AR1" s="1" t="s">
        <v>3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5" t="s">
        <v>50</v>
      </c>
      <c r="AY1" s="10" t="s">
        <v>1</v>
      </c>
      <c r="AZ1" s="5" t="s">
        <v>687</v>
      </c>
      <c r="BA1" s="10" t="s">
        <v>0</v>
      </c>
      <c r="BB1" s="5" t="s">
        <v>606</v>
      </c>
      <c r="BC1" s="3" t="s">
        <v>166</v>
      </c>
      <c r="BD1" s="3" t="s">
        <v>167</v>
      </c>
    </row>
    <row r="79" spans="56:56">
      <c r="BD79" s="4"/>
    </row>
    <row r="133" spans="56:56">
      <c r="BD133" s="4"/>
    </row>
    <row r="244" spans="56:56">
      <c r="BD244" s="4"/>
    </row>
    <row r="655" spans="56:56">
      <c r="BD655" s="4"/>
    </row>
    <row r="695" spans="56:56">
      <c r="BD695" s="4"/>
    </row>
    <row r="705" spans="56:56">
      <c r="BD705" s="4"/>
    </row>
    <row r="888" spans="56:56">
      <c r="BD888" s="4"/>
    </row>
    <row r="953" spans="56:56">
      <c r="BD953" s="4"/>
    </row>
    <row r="993" spans="56:56">
      <c r="BD993" s="4"/>
    </row>
    <row r="1042" spans="56:56">
      <c r="BD1042" s="4"/>
    </row>
    <row r="1281" spans="56:56">
      <c r="BD1281" s="4"/>
    </row>
    <row r="1868" spans="56:56">
      <c r="BD1868" s="4"/>
    </row>
    <row r="1912" spans="56:56">
      <c r="BD1912" s="4"/>
    </row>
    <row r="1935" spans="56:56">
      <c r="BD1935" s="4"/>
    </row>
    <row r="1985" spans="56:56">
      <c r="BD1985" s="4"/>
    </row>
    <row r="2114" spans="56:56">
      <c r="BD2114" s="4"/>
    </row>
    <row r="2238" spans="56:56">
      <c r="BD2238" s="4"/>
    </row>
    <row r="2285" spans="56:56">
      <c r="BD2285" s="4"/>
    </row>
    <row r="2300" spans="56:56">
      <c r="BD2300" s="4"/>
    </row>
    <row r="2375" spans="56:56">
      <c r="BD2375" s="4"/>
    </row>
    <row r="2417" spans="56:56">
      <c r="BD2417" s="4"/>
    </row>
    <row r="2536" spans="56:56">
      <c r="BD2536" s="4"/>
    </row>
    <row r="2537" spans="56:56">
      <c r="BD2537" s="4"/>
    </row>
    <row r="2619" spans="56:56">
      <c r="BD2619" s="4"/>
    </row>
    <row r="2810" spans="56:56">
      <c r="BD2810" s="4"/>
    </row>
    <row r="2873" spans="56:56">
      <c r="BD2873" s="4"/>
    </row>
    <row r="2909" spans="56:56">
      <c r="BD2909" s="4"/>
    </row>
    <row r="2910" spans="56:56">
      <c r="BD2910" s="4"/>
    </row>
    <row r="2916" spans="56:56">
      <c r="BD2916" s="4"/>
    </row>
    <row r="2917" spans="56:56">
      <c r="BD2917" s="4"/>
    </row>
    <row r="3103" spans="56:56">
      <c r="BD3103" s="4"/>
    </row>
    <row r="3203" spans="56:56">
      <c r="BD3203" s="4"/>
    </row>
    <row r="3225" spans="56:56">
      <c r="BD3225" s="4"/>
    </row>
    <row r="3358" spans="56:56">
      <c r="BD3358" s="4"/>
    </row>
    <row r="3665" spans="56:56">
      <c r="BD3665" s="4"/>
    </row>
    <row r="3696" spans="56:56">
      <c r="BD3696" s="4"/>
    </row>
    <row r="3711" spans="56:56">
      <c r="BD3711" s="4"/>
    </row>
    <row r="3868" spans="56:56">
      <c r="BD3868" s="4"/>
    </row>
    <row r="4044" spans="56:56">
      <c r="BD4044" s="4"/>
    </row>
    <row r="4100" spans="56:56">
      <c r="BD4100" s="4"/>
    </row>
    <row r="4179" spans="56:56">
      <c r="BD4179" s="4"/>
    </row>
    <row r="4258" spans="56:56">
      <c r="BD4258" s="4"/>
    </row>
    <row r="4287" spans="56:56">
      <c r="BD4287" s="4"/>
    </row>
    <row r="4336" spans="56:56">
      <c r="BD4336" s="4"/>
    </row>
    <row r="4339" spans="56:56">
      <c r="BD4339" s="4"/>
    </row>
    <row r="4381" spans="56:56">
      <c r="BD4381" s="4"/>
    </row>
    <row r="4388" spans="56:56">
      <c r="BD4388" s="4"/>
    </row>
    <row r="4401" spans="56:56">
      <c r="BD4401" s="4"/>
    </row>
    <row r="4402" spans="56:56">
      <c r="BD4402" s="4"/>
    </row>
    <row r="4410" spans="56:56">
      <c r="BD4410" s="4"/>
    </row>
    <row r="4460" spans="56:56">
      <c r="BD4460" s="4"/>
    </row>
    <row r="4469" spans="56:56">
      <c r="BD4469" s="4"/>
    </row>
    <row r="4558" spans="56:56">
      <c r="BD4558" s="4"/>
    </row>
    <row r="4748" spans="56:56">
      <c r="BD4748" s="4"/>
    </row>
    <row r="4750" spans="56:56">
      <c r="BD4750" s="4"/>
    </row>
    <row r="4753" spans="56:56">
      <c r="BD4753" s="4"/>
    </row>
    <row r="4788" spans="56:56">
      <c r="BD4788" s="4"/>
    </row>
    <row r="4795" spans="56:56">
      <c r="BD4795" s="4"/>
    </row>
    <row r="4814" spans="56:56">
      <c r="BD4814" s="4"/>
    </row>
    <row r="4819" spans="56:56">
      <c r="BD4819" s="4"/>
    </row>
    <row r="4931" spans="56:56">
      <c r="BD4931" s="4"/>
    </row>
    <row r="5048" spans="56:56">
      <c r="BD5048" s="4"/>
    </row>
    <row r="5079" spans="56:56">
      <c r="BD5079" s="4"/>
    </row>
    <row r="5144" spans="56:56">
      <c r="BD5144" s="4"/>
    </row>
    <row r="5171" spans="56:56">
      <c r="BD5171" s="4"/>
    </row>
    <row r="5185" spans="56:56">
      <c r="BD5185" s="4"/>
    </row>
    <row r="5189" spans="56:56">
      <c r="BD5189" s="4"/>
    </row>
    <row r="5215" spans="56:56">
      <c r="BD5215" s="4"/>
    </row>
    <row r="5217" spans="56:56">
      <c r="BD5217" s="4"/>
    </row>
    <row r="5300" spans="56:56">
      <c r="BD5300" s="4"/>
    </row>
    <row r="5346" spans="56:56">
      <c r="BD5346" s="4"/>
    </row>
    <row r="5405" spans="56:56">
      <c r="BD5405" s="4"/>
    </row>
    <row r="5498" spans="56:56">
      <c r="BD5498" s="4"/>
    </row>
    <row r="5568" spans="56:56">
      <c r="BD5568" s="4"/>
    </row>
    <row r="5694" spans="56:56">
      <c r="BD5694" s="4"/>
    </row>
    <row r="5750" spans="56:56">
      <c r="BD5750" s="4"/>
    </row>
    <row r="5957" spans="56:56">
      <c r="BD5957" s="4"/>
    </row>
    <row r="6199" spans="56:56">
      <c r="BD6199" s="4"/>
    </row>
    <row r="6318" spans="56:56">
      <c r="BD6318" s="4"/>
    </row>
    <row r="6476" spans="56:56">
      <c r="BD6476" s="4"/>
    </row>
    <row r="6562" spans="56:56">
      <c r="BD6562" s="4"/>
    </row>
    <row r="6734" spans="56:56">
      <c r="BD6734" s="4"/>
    </row>
    <row r="6869" spans="56:56">
      <c r="BD6869" s="4"/>
    </row>
    <row r="6929" spans="56:56">
      <c r="BD6929" s="4"/>
    </row>
    <row r="7139" spans="56:56">
      <c r="BD7139" s="4"/>
    </row>
    <row r="7178" spans="56:56">
      <c r="BD7178" s="4"/>
    </row>
    <row r="7268" spans="56:56">
      <c r="BD7268" s="4"/>
    </row>
    <row r="7344" spans="56:56">
      <c r="BD7344" s="4"/>
    </row>
    <row r="7370" spans="56:56">
      <c r="BD7370" s="4"/>
    </row>
    <row r="7475" spans="56:56">
      <c r="BD7475" s="4"/>
    </row>
    <row r="7476" spans="56:56">
      <c r="BD7476" s="4"/>
    </row>
    <row r="7502" spans="56:56">
      <c r="BD7502" s="4"/>
    </row>
    <row r="7503" spans="56:56">
      <c r="BD7503" s="4"/>
    </row>
    <row r="7511" spans="56:56">
      <c r="BD7511" s="4"/>
    </row>
    <row r="7627" spans="56:56">
      <c r="BD7627" s="4"/>
    </row>
    <row r="7634" spans="56:56">
      <c r="BD7634" s="4"/>
    </row>
    <row r="7686" spans="56:56">
      <c r="BD7686" s="4"/>
    </row>
    <row r="7730" spans="56:56">
      <c r="BD7730" s="4"/>
    </row>
    <row r="7752" spans="56:56">
      <c r="BD7752" s="4"/>
    </row>
    <row r="7928" spans="56:56">
      <c r="BD7928" s="4"/>
    </row>
    <row r="7932" spans="56:56">
      <c r="BD7932" s="4"/>
    </row>
    <row r="8052" spans="56:56">
      <c r="BD8052" s="4"/>
    </row>
    <row r="8259" spans="56:56">
      <c r="BD8259" s="4"/>
    </row>
    <row r="8335" spans="56:56">
      <c r="BD8335" s="4"/>
    </row>
    <row r="8343" spans="56:56">
      <c r="BD8343" s="4"/>
    </row>
    <row r="8368" spans="56:56">
      <c r="BD8368" s="4"/>
    </row>
    <row r="8480" spans="56:56">
      <c r="BD8480" s="4"/>
    </row>
    <row r="8581" spans="56:56">
      <c r="BD8581" s="4"/>
    </row>
    <row r="8611" spans="56:56">
      <c r="BD8611" s="4"/>
    </row>
    <row r="8850" spans="56:56">
      <c r="BD8850" s="4"/>
    </row>
    <row r="8891" spans="56:56">
      <c r="BD8891" s="4"/>
    </row>
    <row r="8971" spans="56:56">
      <c r="BD8971" s="4"/>
    </row>
    <row r="8994" spans="48:48">
      <c r="AV8994" s="11"/>
    </row>
    <row r="8995" spans="48:48">
      <c r="AV8995" s="11"/>
    </row>
    <row r="8996" spans="48:48">
      <c r="AV8996" s="11"/>
    </row>
    <row r="8997" spans="48:48">
      <c r="AV8997" s="11"/>
    </row>
    <row r="8998" spans="48:48">
      <c r="AV8998" s="11"/>
    </row>
    <row r="8999" spans="48:48">
      <c r="AV8999" s="11"/>
    </row>
    <row r="9000" spans="48:48">
      <c r="AV9000" s="11"/>
    </row>
    <row r="9001" spans="48:48">
      <c r="AV9001" s="11"/>
    </row>
    <row r="9002" spans="48:48">
      <c r="AV9002" s="11"/>
    </row>
    <row r="9003" spans="48:48">
      <c r="AV9003" s="11"/>
    </row>
    <row r="9004" spans="48:48">
      <c r="AV9004" s="11"/>
    </row>
    <row r="9005" spans="48:48">
      <c r="AV9005" s="11"/>
    </row>
    <row r="9006" spans="48:48">
      <c r="AV9006" s="11"/>
    </row>
    <row r="9007" spans="48:48">
      <c r="AV9007" s="11"/>
    </row>
    <row r="9008" spans="48:48">
      <c r="AV9008" s="11"/>
    </row>
    <row r="9009" spans="48:48">
      <c r="AV9009" s="11"/>
    </row>
    <row r="9010" spans="48:48">
      <c r="AV9010" s="11"/>
    </row>
    <row r="9011" spans="48:48">
      <c r="AV9011" s="11"/>
    </row>
    <row r="9012" spans="48:48">
      <c r="AV9012" s="11"/>
    </row>
    <row r="9013" spans="48:48">
      <c r="AV9013" s="11"/>
    </row>
    <row r="9014" spans="48:48">
      <c r="AV9014" s="11"/>
    </row>
    <row r="9015" spans="48:48">
      <c r="AV9015" s="11"/>
    </row>
    <row r="9016" spans="48:48">
      <c r="AV9016" s="11"/>
    </row>
    <row r="9017" spans="48:48">
      <c r="AV9017" s="11"/>
    </row>
    <row r="9018" spans="48:48">
      <c r="AV9018" s="11"/>
    </row>
    <row r="9019" spans="48:48">
      <c r="AV9019" s="11"/>
    </row>
    <row r="9020" spans="48:48">
      <c r="AV9020" s="11"/>
    </row>
    <row r="9021" spans="48:48">
      <c r="AV9021" s="11"/>
    </row>
    <row r="9022" spans="48:48">
      <c r="AV9022" s="11"/>
    </row>
    <row r="9023" spans="48:48">
      <c r="AV9023" s="11"/>
    </row>
    <row r="9024" spans="48:48">
      <c r="AV9024" s="11"/>
    </row>
    <row r="9025" spans="48:56">
      <c r="AV9025" s="11"/>
    </row>
    <row r="9026" spans="48:56">
      <c r="AV9026" s="11"/>
    </row>
    <row r="9027" spans="48:56">
      <c r="AV9027" s="11"/>
    </row>
    <row r="9028" spans="48:56">
      <c r="AV9028" s="11"/>
    </row>
    <row r="9029" spans="48:56">
      <c r="AV9029" s="11"/>
    </row>
    <row r="9030" spans="48:56">
      <c r="AV9030" s="11"/>
      <c r="BD9030" s="4"/>
    </row>
    <row r="9031" spans="48:56">
      <c r="AV9031" s="11"/>
    </row>
    <row r="9032" spans="48:56">
      <c r="AV9032" s="11"/>
    </row>
    <row r="9033" spans="48:56">
      <c r="AV9033" s="11"/>
    </row>
    <row r="9034" spans="48:56">
      <c r="AV9034" s="11"/>
    </row>
    <row r="9035" spans="48:56">
      <c r="AV9035" s="11"/>
    </row>
    <row r="9036" spans="48:56">
      <c r="AV9036" s="11"/>
    </row>
    <row r="9037" spans="48:56">
      <c r="AV9037" s="11"/>
    </row>
    <row r="9038" spans="48:56">
      <c r="AV9038" s="11"/>
    </row>
    <row r="9039" spans="48:56">
      <c r="AV9039" s="11"/>
    </row>
    <row r="9040" spans="48:56">
      <c r="AV9040" s="11"/>
    </row>
    <row r="9041" spans="48:48">
      <c r="AV9041" s="11"/>
    </row>
    <row r="9042" spans="48:48">
      <c r="AV9042" s="11"/>
    </row>
    <row r="9043" spans="48:48">
      <c r="AV9043" s="11"/>
    </row>
    <row r="9044" spans="48:48">
      <c r="AV9044" s="11"/>
    </row>
    <row r="9045" spans="48:48">
      <c r="AV9045" s="11"/>
    </row>
    <row r="9046" spans="48:48">
      <c r="AV9046" s="11"/>
    </row>
    <row r="9047" spans="48:48">
      <c r="AV9047" s="11"/>
    </row>
    <row r="9048" spans="48:48">
      <c r="AV9048" s="11"/>
    </row>
    <row r="9049" spans="48:48">
      <c r="AV9049" s="11"/>
    </row>
    <row r="9050" spans="48:48">
      <c r="AV9050" s="11"/>
    </row>
    <row r="9051" spans="48:48">
      <c r="AV9051" s="11"/>
    </row>
    <row r="9052" spans="48:48">
      <c r="AV9052" s="11"/>
    </row>
    <row r="9053" spans="48:48">
      <c r="AV9053" s="11"/>
    </row>
    <row r="9054" spans="48:48">
      <c r="AV9054" s="11"/>
    </row>
    <row r="9055" spans="48:48">
      <c r="AV9055" s="11"/>
    </row>
    <row r="9056" spans="48:48">
      <c r="AV9056" s="11"/>
    </row>
    <row r="9057" spans="48:48">
      <c r="AV9057" s="11"/>
    </row>
    <row r="9058" spans="48:48">
      <c r="AV9058" s="11"/>
    </row>
    <row r="9059" spans="48:48">
      <c r="AV9059" s="11"/>
    </row>
    <row r="9060" spans="48:48">
      <c r="AV9060" s="11"/>
    </row>
    <row r="9061" spans="48:48">
      <c r="AV9061" s="11"/>
    </row>
    <row r="9062" spans="48:48">
      <c r="AV9062" s="11"/>
    </row>
    <row r="9063" spans="48:48">
      <c r="AV9063" s="11"/>
    </row>
    <row r="9064" spans="48:48">
      <c r="AV9064" s="11"/>
    </row>
    <row r="9065" spans="48:48">
      <c r="AV9065" s="11"/>
    </row>
    <row r="9066" spans="48:48">
      <c r="AV9066" s="11"/>
    </row>
    <row r="9067" spans="48:48">
      <c r="AV9067" s="11"/>
    </row>
    <row r="9068" spans="48:48">
      <c r="AV9068" s="11"/>
    </row>
    <row r="9069" spans="48:48">
      <c r="AV9069" s="11"/>
    </row>
    <row r="9070" spans="48:48">
      <c r="AV9070" s="11"/>
    </row>
    <row r="9071" spans="48:48">
      <c r="AV9071" s="11"/>
    </row>
    <row r="9072" spans="48:48">
      <c r="AV9072" s="11"/>
    </row>
    <row r="9073" spans="48:48">
      <c r="AV9073" s="11"/>
    </row>
    <row r="9074" spans="48:48">
      <c r="AV9074" s="11"/>
    </row>
    <row r="9075" spans="48:48">
      <c r="AV9075" s="11"/>
    </row>
    <row r="9076" spans="48:48">
      <c r="AV9076" s="11"/>
    </row>
    <row r="9077" spans="48:48">
      <c r="AV9077" s="11"/>
    </row>
    <row r="9078" spans="48:48">
      <c r="AV9078" s="11"/>
    </row>
    <row r="9079" spans="48:48">
      <c r="AV9079" s="11"/>
    </row>
    <row r="9080" spans="48:48">
      <c r="AV9080" s="11"/>
    </row>
    <row r="9081" spans="48:48">
      <c r="AV9081" s="11"/>
    </row>
    <row r="9082" spans="48:48">
      <c r="AV9082" s="11"/>
    </row>
    <row r="9083" spans="48:48">
      <c r="AV9083" s="11"/>
    </row>
    <row r="9084" spans="48:48">
      <c r="AV9084" s="11"/>
    </row>
    <row r="9085" spans="48:48">
      <c r="AV9085" s="11"/>
    </row>
    <row r="9086" spans="48:48">
      <c r="AV9086" s="11"/>
    </row>
    <row r="9087" spans="48:48">
      <c r="AV9087" s="11"/>
    </row>
    <row r="9088" spans="48:48">
      <c r="AV9088" s="11"/>
    </row>
    <row r="9089" spans="48:48">
      <c r="AV9089" s="11"/>
    </row>
    <row r="9090" spans="48:48">
      <c r="AV9090" s="11"/>
    </row>
    <row r="9091" spans="48:48">
      <c r="AV9091" s="11"/>
    </row>
    <row r="9092" spans="48:48">
      <c r="AV9092" s="11"/>
    </row>
    <row r="9093" spans="48:48">
      <c r="AV9093" s="11"/>
    </row>
    <row r="9094" spans="48:48">
      <c r="AV9094" s="11"/>
    </row>
    <row r="9095" spans="48:48">
      <c r="AV9095" s="11"/>
    </row>
    <row r="9096" spans="48:48">
      <c r="AV9096" s="11"/>
    </row>
    <row r="9097" spans="48:48">
      <c r="AV9097" s="11"/>
    </row>
    <row r="9098" spans="48:48">
      <c r="AV9098" s="11"/>
    </row>
    <row r="9099" spans="48:48">
      <c r="AV9099" s="11"/>
    </row>
    <row r="9100" spans="48:48">
      <c r="AV9100" s="11"/>
    </row>
    <row r="9101" spans="48:48">
      <c r="AV9101" s="11"/>
    </row>
    <row r="9102" spans="48:48">
      <c r="AV9102" s="11"/>
    </row>
    <row r="9103" spans="48:48">
      <c r="AV9103" s="11"/>
    </row>
    <row r="9104" spans="48:48">
      <c r="AV9104" s="11"/>
    </row>
    <row r="9105" spans="48:48">
      <c r="AV9105" s="11"/>
    </row>
    <row r="9106" spans="48:48">
      <c r="AV9106" s="11"/>
    </row>
    <row r="9107" spans="48:48">
      <c r="AV9107" s="11"/>
    </row>
    <row r="9108" spans="48:48">
      <c r="AV9108" s="11"/>
    </row>
    <row r="9109" spans="48:48">
      <c r="AV9109" s="11"/>
    </row>
    <row r="9110" spans="48:48">
      <c r="AV9110" s="11"/>
    </row>
    <row r="9111" spans="48:48">
      <c r="AV9111" s="11"/>
    </row>
    <row r="9112" spans="48:48">
      <c r="AV9112" s="11"/>
    </row>
    <row r="9113" spans="48:48">
      <c r="AV9113" s="11"/>
    </row>
    <row r="9114" spans="48:48">
      <c r="AV9114" s="11"/>
    </row>
    <row r="9115" spans="48:48">
      <c r="AV9115" s="11"/>
    </row>
    <row r="9116" spans="48:48">
      <c r="AV9116" s="11"/>
    </row>
    <row r="9117" spans="48:48">
      <c r="AV9117" s="11"/>
    </row>
    <row r="9118" spans="48:48">
      <c r="AV9118" s="11"/>
    </row>
    <row r="9119" spans="48:48">
      <c r="AV9119" s="11"/>
    </row>
    <row r="9120" spans="48:48">
      <c r="AV9120" s="11"/>
    </row>
    <row r="9121" spans="48:48">
      <c r="AV9121" s="11"/>
    </row>
    <row r="9122" spans="48:48">
      <c r="AV9122" s="11"/>
    </row>
    <row r="9123" spans="48:48">
      <c r="AV9123" s="11"/>
    </row>
    <row r="9124" spans="48:48">
      <c r="AV9124" s="11"/>
    </row>
    <row r="9125" spans="48:48">
      <c r="AV9125" s="11"/>
    </row>
    <row r="9126" spans="48:48">
      <c r="AV9126" s="11"/>
    </row>
    <row r="9127" spans="48:48">
      <c r="AV9127" s="11"/>
    </row>
    <row r="9128" spans="48:48">
      <c r="AV9128" s="11"/>
    </row>
    <row r="9129" spans="48:48">
      <c r="AV9129" s="11"/>
    </row>
    <row r="9130" spans="48:48">
      <c r="AV9130" s="11"/>
    </row>
    <row r="9131" spans="48:48">
      <c r="AV9131" s="11"/>
    </row>
    <row r="9132" spans="48:48">
      <c r="AV9132" s="11"/>
    </row>
    <row r="9133" spans="48:48">
      <c r="AV9133" s="11"/>
    </row>
    <row r="9134" spans="48:48">
      <c r="AV9134" s="11"/>
    </row>
    <row r="9135" spans="48:48">
      <c r="AV9135" s="11"/>
    </row>
    <row r="9136" spans="48:48">
      <c r="AV9136" s="11"/>
    </row>
    <row r="9137" spans="48:56">
      <c r="AV9137" s="11"/>
    </row>
    <row r="9138" spans="48:56">
      <c r="AV9138" s="11"/>
    </row>
    <row r="9139" spans="48:56">
      <c r="AV9139" s="11"/>
    </row>
    <row r="9140" spans="48:56">
      <c r="AV9140" s="11"/>
      <c r="BD9140" s="4"/>
    </row>
    <row r="9141" spans="48:56">
      <c r="AV9141" s="11"/>
    </row>
    <row r="9142" spans="48:56">
      <c r="AV9142" s="11"/>
    </row>
    <row r="9143" spans="48:56">
      <c r="AV9143" s="11"/>
    </row>
    <row r="9144" spans="48:56">
      <c r="AV9144" s="11"/>
    </row>
    <row r="9145" spans="48:56">
      <c r="AV9145" s="11"/>
    </row>
    <row r="9146" spans="48:56">
      <c r="AV9146" s="11"/>
    </row>
    <row r="9147" spans="48:56">
      <c r="AV9147" s="11"/>
    </row>
    <row r="9148" spans="48:56">
      <c r="AV9148" s="11"/>
    </row>
    <row r="9149" spans="48:56">
      <c r="AV9149" s="11"/>
    </row>
    <row r="9150" spans="48:56">
      <c r="AV9150" s="11"/>
    </row>
    <row r="9151" spans="48:56">
      <c r="AV9151" s="11"/>
    </row>
    <row r="9152" spans="48:56">
      <c r="AV9152" s="11"/>
    </row>
    <row r="9153" spans="48:56">
      <c r="AV9153" s="11"/>
    </row>
    <row r="9154" spans="48:56">
      <c r="AV9154" s="11"/>
    </row>
    <row r="9155" spans="48:56">
      <c r="AV9155" s="11"/>
      <c r="BD9155" s="4"/>
    </row>
    <row r="9156" spans="48:56">
      <c r="AV9156" s="11"/>
    </row>
    <row r="9157" spans="48:56">
      <c r="AV9157" s="11"/>
    </row>
    <row r="9158" spans="48:56">
      <c r="AV9158" s="11"/>
    </row>
    <row r="9159" spans="48:56">
      <c r="AV9159" s="11"/>
    </row>
    <row r="9160" spans="48:56">
      <c r="AV9160" s="11"/>
    </row>
    <row r="9161" spans="48:56">
      <c r="AV9161" s="11"/>
    </row>
    <row r="9162" spans="48:56">
      <c r="AV9162" s="11"/>
    </row>
    <row r="9163" spans="48:56">
      <c r="AV9163" s="11"/>
    </row>
    <row r="9164" spans="48:56">
      <c r="AV9164" s="11"/>
    </row>
    <row r="9165" spans="48:56">
      <c r="AV9165" s="11"/>
    </row>
    <row r="9166" spans="48:56">
      <c r="AV9166" s="11"/>
    </row>
    <row r="9167" spans="48:56">
      <c r="AV9167" s="11"/>
    </row>
    <row r="9168" spans="48:56">
      <c r="AV9168" s="11"/>
    </row>
    <row r="9169" spans="48:48">
      <c r="AV9169" s="11"/>
    </row>
    <row r="9170" spans="48:48">
      <c r="AV9170" s="11"/>
    </row>
    <row r="9171" spans="48:48">
      <c r="AV9171" s="11"/>
    </row>
    <row r="9172" spans="48:48">
      <c r="AV9172" s="11"/>
    </row>
    <row r="9173" spans="48:48">
      <c r="AV9173" s="11"/>
    </row>
    <row r="9174" spans="48:48">
      <c r="AV9174" s="11"/>
    </row>
    <row r="9175" spans="48:48">
      <c r="AV9175" s="11"/>
    </row>
    <row r="9176" spans="48:48">
      <c r="AV9176" s="11"/>
    </row>
    <row r="9177" spans="48:48">
      <c r="AV9177" s="11"/>
    </row>
    <row r="9178" spans="48:48">
      <c r="AV9178" s="11"/>
    </row>
    <row r="9179" spans="48:48">
      <c r="AV9179" s="11"/>
    </row>
    <row r="9180" spans="48:48">
      <c r="AV9180" s="11"/>
    </row>
    <row r="9181" spans="48:48">
      <c r="AV9181" s="11"/>
    </row>
    <row r="9182" spans="48:48">
      <c r="AV9182" s="11"/>
    </row>
    <row r="9183" spans="48:48">
      <c r="AV9183" s="11"/>
    </row>
    <row r="9184" spans="48:48">
      <c r="AV9184" s="11"/>
    </row>
    <row r="9185" spans="48:48">
      <c r="AV9185" s="11"/>
    </row>
    <row r="9186" spans="48:48">
      <c r="AV9186" s="11"/>
    </row>
    <row r="9187" spans="48:48">
      <c r="AV9187" s="11"/>
    </row>
    <row r="9188" spans="48:48">
      <c r="AV9188" s="11"/>
    </row>
    <row r="9189" spans="48:48">
      <c r="AV9189" s="11"/>
    </row>
    <row r="9190" spans="48:48">
      <c r="AV9190" s="11"/>
    </row>
    <row r="9191" spans="48:48">
      <c r="AV9191" s="11"/>
    </row>
    <row r="9192" spans="48:48">
      <c r="AV9192" s="11"/>
    </row>
    <row r="9193" spans="48:48">
      <c r="AV9193" s="11"/>
    </row>
    <row r="9194" spans="48:48">
      <c r="AV9194" s="11"/>
    </row>
    <row r="9195" spans="48:48">
      <c r="AV9195" s="11"/>
    </row>
    <row r="9196" spans="48:48">
      <c r="AV9196" s="11"/>
    </row>
    <row r="9197" spans="48:48">
      <c r="AV9197" s="11"/>
    </row>
    <row r="9198" spans="48:48">
      <c r="AV9198" s="11"/>
    </row>
    <row r="9199" spans="48:48">
      <c r="AV9199" s="11"/>
    </row>
    <row r="9200" spans="48:48">
      <c r="AV9200" s="11"/>
    </row>
    <row r="9201" spans="48:48">
      <c r="AV9201" s="11"/>
    </row>
    <row r="9202" spans="48:48">
      <c r="AV9202" s="11"/>
    </row>
    <row r="9203" spans="48:48">
      <c r="AV9203" s="11"/>
    </row>
    <row r="9204" spans="48:48">
      <c r="AV9204" s="11"/>
    </row>
    <row r="9205" spans="48:48">
      <c r="AV9205" s="11"/>
    </row>
    <row r="9206" spans="48:48">
      <c r="AV9206" s="11"/>
    </row>
    <row r="9207" spans="48:48">
      <c r="AV9207" s="11"/>
    </row>
    <row r="9208" spans="48:48">
      <c r="AV9208" s="11"/>
    </row>
    <row r="9209" spans="48:48">
      <c r="AV9209" s="11"/>
    </row>
    <row r="9210" spans="48:48">
      <c r="AV9210" s="11"/>
    </row>
    <row r="9211" spans="48:48">
      <c r="AV9211" s="11"/>
    </row>
    <row r="9212" spans="48:48">
      <c r="AV9212" s="11"/>
    </row>
    <row r="9213" spans="48:48">
      <c r="AV9213" s="11"/>
    </row>
    <row r="9214" spans="48:48">
      <c r="AV9214" s="11"/>
    </row>
    <row r="9215" spans="48:48">
      <c r="AV9215" s="11"/>
    </row>
    <row r="9216" spans="48:48">
      <c r="AV9216" s="11"/>
    </row>
    <row r="9217" spans="48:48">
      <c r="AV9217" s="11"/>
    </row>
    <row r="9218" spans="48:48">
      <c r="AV9218" s="11"/>
    </row>
    <row r="9219" spans="48:48">
      <c r="AV9219" s="11"/>
    </row>
    <row r="9220" spans="48:48">
      <c r="AV9220" s="11"/>
    </row>
    <row r="9221" spans="48:48">
      <c r="AV9221" s="11"/>
    </row>
    <row r="9222" spans="48:48">
      <c r="AV9222" s="11"/>
    </row>
    <row r="9223" spans="48:48">
      <c r="AV9223" s="11"/>
    </row>
    <row r="9224" spans="48:48">
      <c r="AV9224" s="11"/>
    </row>
    <row r="9225" spans="48:48">
      <c r="AV9225" s="11"/>
    </row>
    <row r="9226" spans="48:48">
      <c r="AV9226" s="11"/>
    </row>
    <row r="9227" spans="48:48">
      <c r="AV9227" s="11"/>
    </row>
    <row r="9228" spans="48:48">
      <c r="AV9228" s="11"/>
    </row>
    <row r="9229" spans="48:48">
      <c r="AV9229" s="11"/>
    </row>
    <row r="9230" spans="48:48">
      <c r="AV9230" s="11"/>
    </row>
    <row r="9231" spans="48:48">
      <c r="AV9231" s="11"/>
    </row>
    <row r="9232" spans="48:48">
      <c r="AV9232" s="11"/>
    </row>
    <row r="9233" spans="48:48">
      <c r="AV9233" s="11"/>
    </row>
    <row r="9234" spans="48:48">
      <c r="AV9234" s="11"/>
    </row>
    <row r="9235" spans="48:48">
      <c r="AV9235" s="11"/>
    </row>
    <row r="9236" spans="48:48">
      <c r="AV9236" s="11"/>
    </row>
    <row r="9237" spans="48:48">
      <c r="AV9237" s="11"/>
    </row>
    <row r="9238" spans="48:48">
      <c r="AV9238" s="11"/>
    </row>
    <row r="9239" spans="48:48">
      <c r="AV9239" s="11"/>
    </row>
    <row r="9240" spans="48:48">
      <c r="AV9240" s="11"/>
    </row>
    <row r="9241" spans="48:48">
      <c r="AV9241" s="11"/>
    </row>
    <row r="9242" spans="48:48">
      <c r="AV9242" s="11"/>
    </row>
    <row r="9243" spans="48:48">
      <c r="AV9243" s="11"/>
    </row>
    <row r="9244" spans="48:48">
      <c r="AV9244" s="11"/>
    </row>
    <row r="9245" spans="48:48">
      <c r="AV9245" s="11"/>
    </row>
    <row r="9246" spans="48:48">
      <c r="AV9246" s="11"/>
    </row>
    <row r="9247" spans="48:48">
      <c r="AV9247" s="11"/>
    </row>
    <row r="9248" spans="48:48">
      <c r="AV9248" s="11"/>
    </row>
    <row r="9249" spans="48:48">
      <c r="AV9249" s="11"/>
    </row>
    <row r="9250" spans="48:48">
      <c r="AV9250" s="11"/>
    </row>
    <row r="9251" spans="48:48">
      <c r="AV9251" s="11"/>
    </row>
    <row r="9252" spans="48:48">
      <c r="AV9252" s="11"/>
    </row>
    <row r="9253" spans="48:48">
      <c r="AV9253" s="11"/>
    </row>
    <row r="9254" spans="48:48">
      <c r="AV9254" s="11"/>
    </row>
    <row r="9255" spans="48:48">
      <c r="AV9255" s="11"/>
    </row>
    <row r="9256" spans="48:48">
      <c r="AV9256" s="11"/>
    </row>
    <row r="9257" spans="48:48">
      <c r="AV9257" s="11"/>
    </row>
    <row r="9258" spans="48:48">
      <c r="AV9258" s="11"/>
    </row>
    <row r="9259" spans="48:48">
      <c r="AV9259" s="11"/>
    </row>
    <row r="9260" spans="48:48">
      <c r="AV9260" s="11"/>
    </row>
    <row r="9261" spans="48:48">
      <c r="AV9261" s="11"/>
    </row>
    <row r="9262" spans="48:48">
      <c r="AV9262" s="11"/>
    </row>
    <row r="9263" spans="48:48">
      <c r="AV9263" s="11"/>
    </row>
    <row r="9264" spans="48:48">
      <c r="AV9264" s="11"/>
    </row>
    <row r="9265" spans="48:48">
      <c r="AV9265" s="11"/>
    </row>
    <row r="9266" spans="48:48">
      <c r="AV9266" s="11"/>
    </row>
    <row r="9267" spans="48:48">
      <c r="AV9267" s="11"/>
    </row>
    <row r="9268" spans="48:48">
      <c r="AV9268" s="11"/>
    </row>
    <row r="9269" spans="48:48">
      <c r="AV9269" s="11"/>
    </row>
    <row r="9270" spans="48:48">
      <c r="AV9270" s="11"/>
    </row>
    <row r="9271" spans="48:48">
      <c r="AV9271" s="11"/>
    </row>
    <row r="9272" spans="48:48">
      <c r="AV9272" s="11"/>
    </row>
    <row r="9273" spans="48:48">
      <c r="AV9273" s="11"/>
    </row>
    <row r="9274" spans="48:48">
      <c r="AV9274" s="11"/>
    </row>
    <row r="9275" spans="48:48">
      <c r="AV9275" s="11"/>
    </row>
    <row r="9276" spans="48:48">
      <c r="AV9276" s="11"/>
    </row>
    <row r="9277" spans="48:48">
      <c r="AV9277" s="11"/>
    </row>
    <row r="9278" spans="48:48">
      <c r="AV9278" s="11"/>
    </row>
    <row r="9279" spans="48:48">
      <c r="AV9279" s="11"/>
    </row>
    <row r="9280" spans="48:48">
      <c r="AV9280" s="11"/>
    </row>
    <row r="9281" spans="48:48">
      <c r="AV9281" s="11"/>
    </row>
    <row r="9282" spans="48:48">
      <c r="AV9282" s="11"/>
    </row>
    <row r="9283" spans="48:48">
      <c r="AV9283" s="11"/>
    </row>
    <row r="9284" spans="48:48">
      <c r="AV9284" s="11"/>
    </row>
    <row r="9285" spans="48:48">
      <c r="AV9285" s="11"/>
    </row>
    <row r="9286" spans="48:48">
      <c r="AV9286" s="11"/>
    </row>
    <row r="9287" spans="48:48">
      <c r="AV9287" s="11"/>
    </row>
    <row r="9288" spans="48:48">
      <c r="AV9288" s="11"/>
    </row>
    <row r="9289" spans="48:48">
      <c r="AV9289" s="11"/>
    </row>
    <row r="9290" spans="48:48">
      <c r="AV9290" s="11"/>
    </row>
    <row r="9291" spans="48:48">
      <c r="AV9291" s="11"/>
    </row>
    <row r="9292" spans="48:48">
      <c r="AV9292" s="11"/>
    </row>
    <row r="9293" spans="48:48">
      <c r="AV9293" s="11"/>
    </row>
    <row r="9294" spans="48:48">
      <c r="AV9294" s="11"/>
    </row>
    <row r="9295" spans="48:48">
      <c r="AV9295" s="11"/>
    </row>
    <row r="9296" spans="48:48">
      <c r="AV9296" s="11"/>
    </row>
    <row r="9297" spans="48:48">
      <c r="AV9297" s="11"/>
    </row>
    <row r="9298" spans="48:48">
      <c r="AV9298" s="11"/>
    </row>
    <row r="9299" spans="48:48">
      <c r="AV9299" s="11"/>
    </row>
    <row r="9300" spans="48:48">
      <c r="AV9300" s="11"/>
    </row>
    <row r="9301" spans="48:48">
      <c r="AV9301" s="11"/>
    </row>
    <row r="9302" spans="48:48">
      <c r="AV9302" s="11"/>
    </row>
    <row r="9303" spans="48:48">
      <c r="AV9303" s="11"/>
    </row>
    <row r="9304" spans="48:48">
      <c r="AV9304" s="11"/>
    </row>
    <row r="9305" spans="48:48">
      <c r="AV9305" s="11"/>
    </row>
    <row r="9306" spans="48:48">
      <c r="AV9306" s="11"/>
    </row>
    <row r="9307" spans="48:48">
      <c r="AV9307" s="11"/>
    </row>
    <row r="9308" spans="48:48">
      <c r="AV9308" s="11"/>
    </row>
    <row r="9309" spans="48:48">
      <c r="AV9309" s="11"/>
    </row>
    <row r="9310" spans="48:48">
      <c r="AV9310" s="11"/>
    </row>
    <row r="9311" spans="48:48">
      <c r="AV9311" s="11"/>
    </row>
    <row r="9312" spans="48:48">
      <c r="AV9312" s="11"/>
    </row>
    <row r="9313" spans="27:48">
      <c r="AV9313" s="11"/>
    </row>
    <row r="9314" spans="27:48">
      <c r="AV9314" s="11"/>
    </row>
    <row r="9315" spans="27:48">
      <c r="AA9315" s="4"/>
    </row>
    <row r="9316" spans="27:48">
      <c r="AA9316" s="4"/>
    </row>
    <row r="9317" spans="27:48">
      <c r="AA9317" s="4"/>
    </row>
    <row r="9318" spans="27:48">
      <c r="AA9318" s="4"/>
    </row>
    <row r="9319" spans="27:48">
      <c r="AA9319" s="4"/>
    </row>
    <row r="9320" spans="27:48">
      <c r="AA9320" s="4"/>
    </row>
    <row r="9321" spans="27:48">
      <c r="AA9321" s="4"/>
    </row>
    <row r="9322" spans="27:48">
      <c r="AA9322" s="4"/>
    </row>
    <row r="9323" spans="27:48">
      <c r="AA9323" s="4"/>
    </row>
    <row r="9324" spans="27:48">
      <c r="AA9324" s="4"/>
    </row>
    <row r="9325" spans="27:48">
      <c r="AA9325" s="4"/>
    </row>
    <row r="9326" spans="27:48">
      <c r="AA9326" s="4"/>
    </row>
    <row r="9327" spans="27:48">
      <c r="AA9327" s="4"/>
    </row>
    <row r="9328" spans="27:48">
      <c r="AA9328" s="4"/>
    </row>
    <row r="9329" spans="27:56">
      <c r="AA9329" s="4"/>
    </row>
    <row r="9330" spans="27:56">
      <c r="AA9330" s="4"/>
      <c r="BD9330" s="4"/>
    </row>
    <row r="9331" spans="27:56">
      <c r="AA9331" s="4"/>
    </row>
    <row r="9332" spans="27:56">
      <c r="AA9332" s="4"/>
    </row>
    <row r="9333" spans="27:56">
      <c r="AA9333" s="4"/>
    </row>
    <row r="9334" spans="27:56">
      <c r="AA9334" s="4"/>
    </row>
    <row r="9335" spans="27:56">
      <c r="AA9335" s="4"/>
    </row>
    <row r="9336" spans="27:56">
      <c r="AA9336" s="4"/>
    </row>
    <row r="9337" spans="27:56">
      <c r="AA9337" s="4"/>
    </row>
    <row r="9338" spans="27:56">
      <c r="AA9338" s="4"/>
    </row>
    <row r="9339" spans="27:56">
      <c r="AA9339" s="4"/>
    </row>
    <row r="9340" spans="27:56">
      <c r="AA9340" s="4"/>
    </row>
    <row r="9341" spans="27:56">
      <c r="AA9341" s="4"/>
    </row>
    <row r="9342" spans="27:56">
      <c r="AA9342" s="4"/>
    </row>
    <row r="9343" spans="27:56">
      <c r="AA9343" s="4"/>
    </row>
    <row r="9344" spans="27:56">
      <c r="AA9344" s="4"/>
    </row>
    <row r="9345" spans="27:56">
      <c r="AA9345" s="4"/>
    </row>
    <row r="9346" spans="27:56">
      <c r="AA9346" s="4"/>
    </row>
    <row r="9347" spans="27:56">
      <c r="AA9347" s="4"/>
    </row>
    <row r="9348" spans="27:56">
      <c r="AA9348" s="4"/>
    </row>
    <row r="9349" spans="27:56">
      <c r="AA9349" s="4"/>
    </row>
    <row r="9350" spans="27:56">
      <c r="AA9350" s="4"/>
    </row>
    <row r="9351" spans="27:56">
      <c r="AA9351" s="4"/>
    </row>
    <row r="9352" spans="27:56">
      <c r="AA9352" s="4"/>
    </row>
    <row r="9353" spans="27:56">
      <c r="AA9353" s="4"/>
    </row>
    <row r="9354" spans="27:56">
      <c r="AA9354" s="4"/>
    </row>
    <row r="9355" spans="27:56">
      <c r="AA9355" s="4"/>
    </row>
    <row r="9356" spans="27:56">
      <c r="AA9356" s="4"/>
      <c r="BD9356" s="4"/>
    </row>
    <row r="9357" spans="27:56">
      <c r="AA9357" s="4"/>
    </row>
    <row r="9358" spans="27:56">
      <c r="AA9358" s="4"/>
    </row>
    <row r="9359" spans="27:56">
      <c r="AA9359" s="4"/>
    </row>
    <row r="9360" spans="27:56">
      <c r="AA9360" s="4"/>
    </row>
    <row r="9361" spans="27:48">
      <c r="AA9361" s="4"/>
    </row>
    <row r="9362" spans="27:48">
      <c r="AA9362" s="4"/>
    </row>
    <row r="9363" spans="27:48">
      <c r="AA9363" s="4"/>
    </row>
    <row r="9364" spans="27:48">
      <c r="AA9364" s="4"/>
    </row>
    <row r="9365" spans="27:48">
      <c r="AA9365" s="4"/>
    </row>
    <row r="9366" spans="27:48">
      <c r="AA9366" s="4"/>
    </row>
    <row r="9367" spans="27:48">
      <c r="AA9367" s="4"/>
    </row>
    <row r="9368" spans="27:48">
      <c r="AA9368" s="4"/>
    </row>
    <row r="9369" spans="27:48">
      <c r="AV9369" s="11"/>
    </row>
    <row r="9370" spans="27:48">
      <c r="AV9370" s="11"/>
    </row>
    <row r="9371" spans="27:48">
      <c r="AV9371" s="11"/>
    </row>
    <row r="9372" spans="27:48">
      <c r="AV9372" s="11"/>
    </row>
    <row r="9373" spans="27:48">
      <c r="AV9373" s="11"/>
    </row>
    <row r="9374" spans="27:48">
      <c r="AV9374" s="11"/>
    </row>
    <row r="9375" spans="27:48">
      <c r="AV9375" s="11"/>
    </row>
    <row r="9376" spans="27:48">
      <c r="AV9376" s="11"/>
    </row>
    <row r="9377" spans="27:48">
      <c r="AV9377" s="11"/>
    </row>
    <row r="9378" spans="27:48">
      <c r="AV9378" s="11"/>
    </row>
    <row r="9379" spans="27:48">
      <c r="AA9379" s="4"/>
    </row>
    <row r="9380" spans="27:48">
      <c r="AA9380" s="4"/>
    </row>
    <row r="9381" spans="27:48">
      <c r="AA9381" s="4"/>
    </row>
    <row r="9382" spans="27:48">
      <c r="AA9382" s="4"/>
    </row>
    <row r="9383" spans="27:48">
      <c r="AA9383" s="4"/>
    </row>
    <row r="9384" spans="27:48">
      <c r="AA9384" s="4"/>
    </row>
    <row r="9385" spans="27:48">
      <c r="AA9385" s="4"/>
    </row>
    <row r="9386" spans="27:48">
      <c r="AA9386" s="4"/>
    </row>
    <row r="9387" spans="27:48">
      <c r="AA9387" s="4"/>
    </row>
    <row r="9388" spans="27:48">
      <c r="AA9388" s="4"/>
    </row>
    <row r="9389" spans="27:48">
      <c r="AA9389" s="4"/>
    </row>
    <row r="9390" spans="27:48">
      <c r="AA9390" s="4"/>
    </row>
    <row r="9391" spans="27:48">
      <c r="AA9391" s="4"/>
    </row>
    <row r="9392" spans="27:48">
      <c r="AA9392" s="4"/>
    </row>
    <row r="9393" spans="27:27">
      <c r="AA9393" s="4"/>
    </row>
    <row r="9394" spans="27:27">
      <c r="AA9394" s="4"/>
    </row>
    <row r="9395" spans="27:27">
      <c r="AA9395" s="4"/>
    </row>
    <row r="9396" spans="27:27">
      <c r="AA9396" s="4"/>
    </row>
    <row r="9397" spans="27:27">
      <c r="AA9397" s="4"/>
    </row>
    <row r="9398" spans="27:27">
      <c r="AA9398" s="4"/>
    </row>
    <row r="9399" spans="27:27">
      <c r="AA9399" s="4"/>
    </row>
    <row r="9400" spans="27:27">
      <c r="AA9400" s="4"/>
    </row>
    <row r="9401" spans="27:27">
      <c r="AA9401" s="4"/>
    </row>
    <row r="9402" spans="27:27">
      <c r="AA9402" s="4"/>
    </row>
    <row r="9403" spans="27:27">
      <c r="AA9403" s="4"/>
    </row>
    <row r="9404" spans="27:27">
      <c r="AA9404" s="4"/>
    </row>
    <row r="9405" spans="27:27">
      <c r="AA9405" s="4"/>
    </row>
    <row r="9406" spans="27:27">
      <c r="AA9406" s="4"/>
    </row>
    <row r="9407" spans="27:27">
      <c r="AA9407" s="4"/>
    </row>
    <row r="9408" spans="27:27">
      <c r="AA9408" s="4"/>
    </row>
    <row r="9409" spans="27:27">
      <c r="AA9409" s="4"/>
    </row>
    <row r="9410" spans="27:27">
      <c r="AA9410" s="4"/>
    </row>
    <row r="9411" spans="27:27">
      <c r="AA9411" s="4"/>
    </row>
    <row r="9412" spans="27:27">
      <c r="AA9412" s="4"/>
    </row>
    <row r="9413" spans="27:27">
      <c r="AA9413" s="4"/>
    </row>
    <row r="9414" spans="27:27">
      <c r="AA9414" s="4"/>
    </row>
    <row r="9415" spans="27:27">
      <c r="AA9415" s="4"/>
    </row>
    <row r="9416" spans="27:27">
      <c r="AA9416" s="4"/>
    </row>
    <row r="9417" spans="27:27">
      <c r="AA9417" s="4"/>
    </row>
    <row r="9418" spans="27:27">
      <c r="AA9418" s="4"/>
    </row>
    <row r="9419" spans="27:27">
      <c r="AA9419" s="4"/>
    </row>
    <row r="9420" spans="27:27">
      <c r="AA9420" s="4"/>
    </row>
    <row r="9421" spans="27:27">
      <c r="AA9421" s="4"/>
    </row>
    <row r="9422" spans="27:27">
      <c r="AA9422" s="4"/>
    </row>
    <row r="9423" spans="27:27">
      <c r="AA9423" s="4"/>
    </row>
    <row r="9424" spans="27:27">
      <c r="AA9424" s="4"/>
    </row>
    <row r="9425" spans="27:27">
      <c r="AA9425" s="4"/>
    </row>
    <row r="9426" spans="27:27">
      <c r="AA9426" s="4"/>
    </row>
    <row r="9427" spans="27:27">
      <c r="AA9427" s="4"/>
    </row>
    <row r="9428" spans="27:27">
      <c r="AA9428" s="4"/>
    </row>
    <row r="9429" spans="27:27">
      <c r="AA9429" s="4"/>
    </row>
    <row r="9430" spans="27:27">
      <c r="AA9430" s="4"/>
    </row>
    <row r="9431" spans="27:27">
      <c r="AA9431" s="4"/>
    </row>
    <row r="9432" spans="27:27">
      <c r="AA9432" s="4"/>
    </row>
    <row r="9433" spans="27:27">
      <c r="AA9433" s="4"/>
    </row>
    <row r="9434" spans="27:27">
      <c r="AA9434" s="4"/>
    </row>
    <row r="9435" spans="27:27">
      <c r="AA9435" s="4"/>
    </row>
    <row r="9436" spans="27:27">
      <c r="AA9436" s="4"/>
    </row>
    <row r="9437" spans="27:27">
      <c r="AA9437" s="4"/>
    </row>
    <row r="9438" spans="27:27">
      <c r="AA9438" s="4"/>
    </row>
    <row r="9439" spans="27:27">
      <c r="AA9439" s="4"/>
    </row>
    <row r="9440" spans="27:27">
      <c r="AA9440" s="4"/>
    </row>
    <row r="9441" spans="27:27">
      <c r="AA9441" s="4"/>
    </row>
    <row r="9442" spans="27:27">
      <c r="AA9442" s="4"/>
    </row>
    <row r="9443" spans="27:27">
      <c r="AA9443" s="4"/>
    </row>
    <row r="9444" spans="27:27">
      <c r="AA9444" s="4"/>
    </row>
    <row r="9445" spans="27:27">
      <c r="AA9445" s="4"/>
    </row>
    <row r="9446" spans="27:27">
      <c r="AA9446" s="4"/>
    </row>
    <row r="9447" spans="27:27">
      <c r="AA9447" s="4"/>
    </row>
    <row r="9448" spans="27:27">
      <c r="AA9448" s="4"/>
    </row>
    <row r="9449" spans="27:27">
      <c r="AA9449" s="4"/>
    </row>
    <row r="9450" spans="27:27">
      <c r="AA9450" s="4"/>
    </row>
    <row r="9451" spans="27:27">
      <c r="AA9451" s="4"/>
    </row>
    <row r="9452" spans="27:27">
      <c r="AA9452" s="4"/>
    </row>
    <row r="9453" spans="27:27">
      <c r="AA9453" s="4"/>
    </row>
    <row r="9454" spans="27:27">
      <c r="AA9454" s="4"/>
    </row>
    <row r="9455" spans="27:27">
      <c r="AA9455" s="4"/>
    </row>
    <row r="9456" spans="27:27">
      <c r="AA9456" s="4"/>
    </row>
    <row r="9457" spans="27:27">
      <c r="AA9457" s="4"/>
    </row>
    <row r="9458" spans="27:27">
      <c r="AA9458" s="4"/>
    </row>
    <row r="9459" spans="27:27">
      <c r="AA9459" s="4"/>
    </row>
    <row r="9460" spans="27:27">
      <c r="AA9460" s="4"/>
    </row>
    <row r="9461" spans="27:27">
      <c r="AA9461" s="4"/>
    </row>
    <row r="9462" spans="27:27">
      <c r="AA9462" s="4"/>
    </row>
    <row r="9463" spans="27:27">
      <c r="AA9463" s="4"/>
    </row>
    <row r="9464" spans="27:27">
      <c r="AA9464" s="4"/>
    </row>
    <row r="9465" spans="27:27">
      <c r="AA9465" s="4"/>
    </row>
    <row r="9466" spans="27:27">
      <c r="AA9466" s="4"/>
    </row>
    <row r="9467" spans="27:27">
      <c r="AA9467" s="4"/>
    </row>
    <row r="9468" spans="27:27">
      <c r="AA9468" s="4"/>
    </row>
    <row r="9469" spans="27:27">
      <c r="AA9469" s="4"/>
    </row>
    <row r="9470" spans="27:27">
      <c r="AA9470" s="4"/>
    </row>
    <row r="9471" spans="27:27">
      <c r="AA9471" s="4"/>
    </row>
    <row r="9472" spans="27:27">
      <c r="AA9472" s="4"/>
    </row>
    <row r="9473" spans="27:56">
      <c r="AA9473" s="4"/>
      <c r="BD9473" s="4"/>
    </row>
    <row r="9474" spans="27:56">
      <c r="AA9474" s="4"/>
    </row>
    <row r="9475" spans="27:56">
      <c r="AA9475" s="4"/>
    </row>
    <row r="9476" spans="27:56">
      <c r="AA9476" s="4"/>
    </row>
    <row r="9477" spans="27:56">
      <c r="AA9477" s="4"/>
    </row>
    <row r="9478" spans="27:56">
      <c r="AA9478" s="4"/>
    </row>
    <row r="9479" spans="27:56">
      <c r="AA9479" s="4"/>
    </row>
    <row r="9480" spans="27:56">
      <c r="AA9480" s="4"/>
    </row>
    <row r="9481" spans="27:56">
      <c r="AA9481" s="4"/>
    </row>
    <row r="9482" spans="27:56">
      <c r="AA9482" s="4"/>
    </row>
    <row r="9483" spans="27:56">
      <c r="AA9483" s="4"/>
    </row>
    <row r="9484" spans="27:56">
      <c r="AA9484" s="4"/>
    </row>
    <row r="9485" spans="27:56">
      <c r="AA9485" s="4"/>
    </row>
    <row r="9486" spans="27:56">
      <c r="AA9486" s="4"/>
    </row>
    <row r="9487" spans="27:56">
      <c r="AA9487" s="4"/>
    </row>
    <row r="9488" spans="27:56">
      <c r="AA9488" s="4"/>
    </row>
    <row r="9489" spans="27:27">
      <c r="AA9489" s="4"/>
    </row>
    <row r="9490" spans="27:27">
      <c r="AA9490" s="4"/>
    </row>
    <row r="9491" spans="27:27">
      <c r="AA9491" s="4"/>
    </row>
    <row r="9492" spans="27:27">
      <c r="AA9492" s="4"/>
    </row>
    <row r="9493" spans="27:27">
      <c r="AA9493" s="4"/>
    </row>
    <row r="9494" spans="27:27">
      <c r="AA9494" s="4"/>
    </row>
    <row r="9495" spans="27:27">
      <c r="AA9495" s="4"/>
    </row>
    <row r="9496" spans="27:27">
      <c r="AA9496" s="4"/>
    </row>
    <row r="9497" spans="27:27">
      <c r="AA9497" s="4"/>
    </row>
    <row r="9498" spans="27:27">
      <c r="AA9498" s="4"/>
    </row>
    <row r="9499" spans="27:27">
      <c r="AA9499" s="4"/>
    </row>
    <row r="9500" spans="27:27">
      <c r="AA9500" s="4"/>
    </row>
    <row r="9501" spans="27:27">
      <c r="AA9501" s="4"/>
    </row>
    <row r="9502" spans="27:27">
      <c r="AA9502" s="4"/>
    </row>
    <row r="9503" spans="27:27">
      <c r="AA9503" s="4"/>
    </row>
    <row r="9504" spans="27:27">
      <c r="AA9504" s="4"/>
    </row>
    <row r="9505" spans="27:27">
      <c r="AA9505" s="4"/>
    </row>
    <row r="9506" spans="27:27">
      <c r="AA9506" s="4"/>
    </row>
    <row r="9507" spans="27:27">
      <c r="AA9507" s="4"/>
    </row>
    <row r="9508" spans="27:27">
      <c r="AA9508" s="4"/>
    </row>
    <row r="9509" spans="27:27">
      <c r="AA9509" s="4"/>
    </row>
    <row r="9510" spans="27:27">
      <c r="AA9510" s="4"/>
    </row>
    <row r="9511" spans="27:27">
      <c r="AA9511" s="4"/>
    </row>
    <row r="9512" spans="27:27">
      <c r="AA9512" s="4"/>
    </row>
    <row r="9513" spans="27:27">
      <c r="AA9513" s="4"/>
    </row>
    <row r="9514" spans="27:27">
      <c r="AA9514" s="4"/>
    </row>
    <row r="9515" spans="27:27">
      <c r="AA9515" s="4"/>
    </row>
    <row r="9516" spans="27:27">
      <c r="AA9516" s="4"/>
    </row>
    <row r="9517" spans="27:27">
      <c r="AA9517" s="4"/>
    </row>
    <row r="9518" spans="27:27">
      <c r="AA9518" s="4"/>
    </row>
    <row r="9519" spans="27:27">
      <c r="AA9519" s="4"/>
    </row>
    <row r="9520" spans="27:27">
      <c r="AA9520" s="4"/>
    </row>
    <row r="9521" spans="27:56">
      <c r="AA9521" s="4"/>
    </row>
    <row r="9522" spans="27:56">
      <c r="AA9522" s="4"/>
    </row>
    <row r="9523" spans="27:56">
      <c r="AA9523" s="4"/>
    </row>
    <row r="9524" spans="27:56">
      <c r="AA9524" s="4"/>
    </row>
    <row r="9525" spans="27:56">
      <c r="AA9525" s="4"/>
    </row>
    <row r="9526" spans="27:56">
      <c r="AA9526" s="4"/>
    </row>
    <row r="9527" spans="27:56">
      <c r="AA9527" s="4"/>
    </row>
    <row r="9528" spans="27:56">
      <c r="AA9528" s="4"/>
    </row>
    <row r="9529" spans="27:56">
      <c r="AA9529" s="4"/>
    </row>
    <row r="9530" spans="27:56">
      <c r="AA9530" s="4"/>
    </row>
    <row r="9531" spans="27:56">
      <c r="AA9531" s="4"/>
    </row>
    <row r="9532" spans="27:56">
      <c r="AA9532" s="4"/>
    </row>
    <row r="9533" spans="27:56">
      <c r="AA9533" s="4"/>
      <c r="BD9533" s="4"/>
    </row>
    <row r="9534" spans="27:56">
      <c r="AA9534" s="4"/>
    </row>
    <row r="9535" spans="27:56">
      <c r="AA9535" s="4"/>
    </row>
    <row r="9536" spans="27:56">
      <c r="AA9536" s="4"/>
    </row>
    <row r="9537" spans="27:56">
      <c r="AA9537" s="4"/>
    </row>
    <row r="9538" spans="27:56">
      <c r="AA9538" s="4"/>
      <c r="BD9538" s="4"/>
    </row>
    <row r="9539" spans="27:56">
      <c r="AA9539" s="4"/>
      <c r="BD9539" s="4"/>
    </row>
    <row r="9540" spans="27:56">
      <c r="AA9540" s="4"/>
      <c r="BD9540" s="4"/>
    </row>
    <row r="9541" spans="27:56">
      <c r="AA9541" s="4"/>
    </row>
    <row r="9542" spans="27:56">
      <c r="AA9542" s="4"/>
    </row>
    <row r="9543" spans="27:56">
      <c r="AA9543" s="4"/>
    </row>
    <row r="9544" spans="27:56">
      <c r="AA9544" s="4"/>
    </row>
    <row r="9545" spans="27:56">
      <c r="AA9545" s="4"/>
      <c r="AV9545" s="11"/>
    </row>
    <row r="9546" spans="27:56">
      <c r="AA9546" s="4"/>
      <c r="AV9546" s="11"/>
    </row>
    <row r="9547" spans="27:56">
      <c r="AA9547" s="4"/>
      <c r="AV9547" s="11"/>
    </row>
    <row r="9548" spans="27:56">
      <c r="AA9548" s="4"/>
      <c r="AV9548" s="11"/>
    </row>
    <row r="9549" spans="27:56">
      <c r="AA9549" s="4"/>
      <c r="AV9549" s="11"/>
    </row>
    <row r="9550" spans="27:56">
      <c r="AA9550" s="4"/>
      <c r="AV9550" s="11"/>
    </row>
    <row r="9551" spans="27:56">
      <c r="AA9551" s="4"/>
      <c r="AV9551" s="11"/>
    </row>
    <row r="9552" spans="27:56">
      <c r="AA9552" s="4"/>
      <c r="AV9552" s="11"/>
    </row>
    <row r="9553" spans="27:48">
      <c r="AA9553" s="4"/>
      <c r="AV9553" s="11"/>
    </row>
    <row r="9554" spans="27:48">
      <c r="AA9554" s="4"/>
      <c r="AV9554" s="11"/>
    </row>
    <row r="9555" spans="27:48">
      <c r="AA9555" s="4"/>
      <c r="AV9555" s="11"/>
    </row>
    <row r="9556" spans="27:48">
      <c r="AA9556" s="4"/>
      <c r="AV9556" s="11"/>
    </row>
    <row r="9557" spans="27:48">
      <c r="AA9557" s="4"/>
      <c r="AV9557" s="11"/>
    </row>
    <row r="9558" spans="27:48">
      <c r="AA9558" s="4"/>
      <c r="AV9558" s="11"/>
    </row>
    <row r="9559" spans="27:48">
      <c r="AA9559" s="4"/>
      <c r="AV9559" s="11"/>
    </row>
    <row r="9560" spans="27:48">
      <c r="AA9560" s="4"/>
      <c r="AV9560" s="11"/>
    </row>
    <row r="9561" spans="27:48">
      <c r="AA9561" s="4"/>
      <c r="AV9561" s="11"/>
    </row>
    <row r="9562" spans="27:48">
      <c r="AA9562" s="4"/>
      <c r="AV9562" s="11"/>
    </row>
    <row r="9563" spans="27:48">
      <c r="AA9563" s="4"/>
      <c r="AV9563" s="11"/>
    </row>
    <row r="9564" spans="27:48">
      <c r="AA9564" s="4"/>
      <c r="AV9564" s="11"/>
    </row>
    <row r="9565" spans="27:48">
      <c r="AA9565" s="4"/>
      <c r="AV9565" s="11"/>
    </row>
    <row r="9566" spans="27:48">
      <c r="AA9566" s="4"/>
      <c r="AV9566" s="11"/>
    </row>
    <row r="9567" spans="27:48">
      <c r="AA9567" s="4"/>
      <c r="AV9567" s="11"/>
    </row>
    <row r="9568" spans="27:48">
      <c r="AA9568" s="4"/>
      <c r="AV9568" s="11"/>
    </row>
    <row r="9569" spans="27:56">
      <c r="AA9569" s="4"/>
      <c r="AV9569" s="11"/>
    </row>
    <row r="9570" spans="27:56">
      <c r="AA9570" s="4"/>
      <c r="AV9570" s="11"/>
    </row>
    <row r="9571" spans="27:56">
      <c r="AA9571" s="4"/>
      <c r="AV9571" s="11"/>
    </row>
    <row r="9572" spans="27:56">
      <c r="AA9572" s="4"/>
      <c r="AV9572" s="11"/>
    </row>
    <row r="9573" spans="27:56">
      <c r="AA9573" s="4"/>
      <c r="AV9573" s="11"/>
    </row>
    <row r="9574" spans="27:56">
      <c r="AA9574" s="4"/>
      <c r="AV9574" s="11"/>
    </row>
    <row r="9575" spans="27:56">
      <c r="AA9575" s="4"/>
      <c r="AV9575" s="11"/>
    </row>
    <row r="9576" spans="27:56">
      <c r="AA9576" s="4"/>
      <c r="AV9576" s="11"/>
    </row>
    <row r="9577" spans="27:56">
      <c r="AA9577" s="4"/>
      <c r="AV9577" s="11"/>
    </row>
    <row r="9578" spans="27:56">
      <c r="AA9578" s="4"/>
      <c r="AV9578" s="11"/>
    </row>
    <row r="9579" spans="27:56">
      <c r="AA9579" s="4"/>
      <c r="AV9579" s="11"/>
      <c r="BD9579" s="4"/>
    </row>
    <row r="9580" spans="27:56">
      <c r="AA9580" s="4"/>
      <c r="AV9580" s="11"/>
    </row>
    <row r="9581" spans="27:56">
      <c r="AA9581" s="4"/>
      <c r="AV9581" s="11"/>
    </row>
    <row r="9582" spans="27:56">
      <c r="AA9582" s="4"/>
      <c r="AV9582" s="11"/>
    </row>
    <row r="9583" spans="27:56">
      <c r="AA9583" s="4"/>
      <c r="AV9583" s="11"/>
    </row>
    <row r="9584" spans="27:56">
      <c r="AA9584" s="4"/>
      <c r="AV9584" s="11"/>
    </row>
    <row r="9585" spans="27:48">
      <c r="AA9585" s="4"/>
      <c r="AV9585" s="11"/>
    </row>
    <row r="9586" spans="27:48">
      <c r="AA9586" s="4"/>
      <c r="AV9586" s="11"/>
    </row>
    <row r="9587" spans="27:48">
      <c r="AA9587" s="4"/>
      <c r="AV9587" s="11"/>
    </row>
    <row r="9588" spans="27:48">
      <c r="AA9588" s="4"/>
      <c r="AV9588" s="11"/>
    </row>
    <row r="9589" spans="27:48">
      <c r="AA9589" s="4"/>
      <c r="AV9589" s="11"/>
    </row>
    <row r="9590" spans="27:48">
      <c r="AA9590" s="4"/>
      <c r="AV9590" s="11"/>
    </row>
    <row r="9591" spans="27:48">
      <c r="AA9591" s="4"/>
      <c r="AV9591" s="11"/>
    </row>
    <row r="9592" spans="27:48">
      <c r="AA9592" s="4"/>
      <c r="AV9592" s="11"/>
    </row>
    <row r="9593" spans="27:48">
      <c r="AA9593" s="4"/>
      <c r="AV9593" s="11"/>
    </row>
    <row r="9594" spans="27:48">
      <c r="AA9594" s="4"/>
      <c r="AV9594" s="11"/>
    </row>
    <row r="9595" spans="27:48">
      <c r="AA9595" s="4"/>
      <c r="AV9595" s="11"/>
    </row>
    <row r="9596" spans="27:48">
      <c r="AA9596" s="4"/>
      <c r="AV9596" s="11"/>
    </row>
    <row r="9597" spans="27:48">
      <c r="AA9597" s="4"/>
      <c r="AV9597" s="11"/>
    </row>
    <row r="9598" spans="27:48">
      <c r="AA9598" s="4"/>
      <c r="AV9598" s="11"/>
    </row>
    <row r="9599" spans="27:48">
      <c r="AA9599" s="4"/>
      <c r="AV9599" s="11"/>
    </row>
    <row r="9600" spans="27:48">
      <c r="AA9600" s="4"/>
      <c r="AV9600" s="11"/>
    </row>
    <row r="9601" spans="27:48">
      <c r="AA9601" s="4"/>
      <c r="AV9601" s="11"/>
    </row>
    <row r="9602" spans="27:48">
      <c r="AA9602" s="4"/>
      <c r="AV9602" s="11"/>
    </row>
    <row r="9603" spans="27:48">
      <c r="AA9603" s="4"/>
      <c r="AV9603" s="11"/>
    </row>
    <row r="9604" spans="27:48">
      <c r="AA9604" s="4"/>
      <c r="AV9604" s="11"/>
    </row>
    <row r="9605" spans="27:48">
      <c r="AA9605" s="4"/>
      <c r="AV9605" s="11"/>
    </row>
    <row r="9606" spans="27:48">
      <c r="AA9606" s="4"/>
      <c r="AV9606" s="11"/>
    </row>
    <row r="9607" spans="27:48">
      <c r="AA9607" s="4"/>
      <c r="AV9607" s="11"/>
    </row>
    <row r="9608" spans="27:48">
      <c r="AA9608" s="4"/>
      <c r="AV9608" s="11"/>
    </row>
    <row r="9609" spans="27:48">
      <c r="AA9609" s="4"/>
      <c r="AV9609" s="11"/>
    </row>
    <row r="9610" spans="27:48">
      <c r="AA9610" s="4"/>
      <c r="AV9610" s="11"/>
    </row>
    <row r="9611" spans="27:48">
      <c r="AA9611" s="4"/>
      <c r="AV9611" s="11"/>
    </row>
    <row r="9612" spans="27:48">
      <c r="AA9612" s="4"/>
      <c r="AV9612" s="11"/>
    </row>
    <row r="9613" spans="27:48">
      <c r="AA9613" s="4"/>
      <c r="AV9613" s="11"/>
    </row>
    <row r="9614" spans="27:48">
      <c r="AA9614" s="4"/>
      <c r="AV9614" s="11"/>
    </row>
    <row r="9615" spans="27:48">
      <c r="AA9615" s="4"/>
      <c r="AV9615" s="11"/>
    </row>
    <row r="9616" spans="27:48">
      <c r="AA9616" s="4"/>
      <c r="AV9616" s="11"/>
    </row>
    <row r="9617" spans="27:48">
      <c r="AA9617" s="4"/>
      <c r="AV9617" s="11"/>
    </row>
    <row r="9618" spans="27:48">
      <c r="AA9618" s="4"/>
      <c r="AV9618" s="11"/>
    </row>
    <row r="9619" spans="27:48">
      <c r="AA9619" s="4"/>
      <c r="AV9619" s="11"/>
    </row>
    <row r="9620" spans="27:48">
      <c r="AA9620" s="4"/>
      <c r="AV9620" s="11"/>
    </row>
    <row r="9621" spans="27:48">
      <c r="AA9621" s="4"/>
      <c r="AV9621" s="11"/>
    </row>
    <row r="9622" spans="27:48">
      <c r="AA9622" s="4"/>
      <c r="AV9622" s="11"/>
    </row>
    <row r="9623" spans="27:48">
      <c r="AA9623" s="4"/>
      <c r="AV9623" s="11"/>
    </row>
    <row r="9624" spans="27:48">
      <c r="AA9624" s="4"/>
      <c r="AV9624" s="11"/>
    </row>
    <row r="9625" spans="27:48">
      <c r="AA9625" s="4"/>
      <c r="AV9625" s="11"/>
    </row>
    <row r="9626" spans="27:48">
      <c r="AA9626" s="4"/>
      <c r="AV9626" s="11"/>
    </row>
    <row r="9627" spans="27:48">
      <c r="AA9627" s="4"/>
      <c r="AV9627" s="11"/>
    </row>
    <row r="9628" spans="27:48">
      <c r="AA9628" s="4"/>
      <c r="AV9628" s="11"/>
    </row>
    <row r="9629" spans="27:48">
      <c r="AA9629" s="4"/>
      <c r="AV9629" s="11"/>
    </row>
    <row r="9630" spans="27:48">
      <c r="AA9630" s="4"/>
      <c r="AV9630" s="11"/>
    </row>
    <row r="9631" spans="27:48">
      <c r="AA9631" s="4"/>
      <c r="AV9631" s="11"/>
    </row>
    <row r="9632" spans="27:48">
      <c r="AA9632" s="4"/>
      <c r="AV9632" s="11"/>
    </row>
    <row r="9633" spans="27:56">
      <c r="AA9633" s="4"/>
      <c r="AV9633" s="11"/>
    </row>
    <row r="9634" spans="27:56">
      <c r="AA9634" s="4"/>
      <c r="AV9634" s="11"/>
    </row>
    <row r="9635" spans="27:56">
      <c r="AV9635" s="11"/>
    </row>
    <row r="9636" spans="27:56">
      <c r="AV9636" s="11"/>
    </row>
    <row r="9637" spans="27:56">
      <c r="AV9637" s="11"/>
    </row>
    <row r="9638" spans="27:56">
      <c r="AV9638" s="11"/>
    </row>
    <row r="9639" spans="27:56">
      <c r="AV9639" s="11"/>
    </row>
    <row r="9640" spans="27:56">
      <c r="AV9640" s="11"/>
      <c r="BD9640" s="4"/>
    </row>
    <row r="9641" spans="27:56">
      <c r="AV9641" s="11"/>
    </row>
    <row r="9642" spans="27:56">
      <c r="AV9642" s="11"/>
    </row>
    <row r="9643" spans="27:56">
      <c r="AV9643" s="11"/>
    </row>
    <row r="9644" spans="27:56">
      <c r="AV9644" s="11"/>
    </row>
    <row r="9645" spans="27:56">
      <c r="AV9645" s="11"/>
    </row>
    <row r="9646" spans="27:56">
      <c r="AV9646" s="11"/>
    </row>
    <row r="9647" spans="27:56">
      <c r="AV9647" s="11"/>
    </row>
    <row r="9648" spans="27:56">
      <c r="AV9648" s="11"/>
    </row>
    <row r="9649" spans="48:48">
      <c r="AV9649" s="11"/>
    </row>
    <row r="9650" spans="48:48">
      <c r="AV9650" s="11"/>
    </row>
    <row r="9651" spans="48:48">
      <c r="AV9651" s="11"/>
    </row>
    <row r="9652" spans="48:48">
      <c r="AV9652" s="11"/>
    </row>
    <row r="9653" spans="48:48">
      <c r="AV9653" s="11"/>
    </row>
    <row r="9654" spans="48:48">
      <c r="AV9654" s="11"/>
    </row>
    <row r="9655" spans="48:48">
      <c r="AV9655" s="11"/>
    </row>
    <row r="9656" spans="48:48">
      <c r="AV9656" s="11"/>
    </row>
    <row r="9657" spans="48:48">
      <c r="AV9657" s="11"/>
    </row>
    <row r="9658" spans="48:48">
      <c r="AV9658" s="11"/>
    </row>
    <row r="9659" spans="48:48">
      <c r="AV9659" s="11"/>
    </row>
    <row r="9660" spans="48:48">
      <c r="AV9660" s="11"/>
    </row>
    <row r="9661" spans="48:48">
      <c r="AV9661" s="11"/>
    </row>
    <row r="9662" spans="48:48">
      <c r="AV9662" s="11"/>
    </row>
    <row r="9663" spans="48:48">
      <c r="AV9663" s="11"/>
    </row>
    <row r="9664" spans="48:48">
      <c r="AV9664" s="11"/>
    </row>
    <row r="9665" spans="48:48">
      <c r="AV9665" s="11"/>
    </row>
    <row r="9666" spans="48:48">
      <c r="AV9666" s="11"/>
    </row>
    <row r="9667" spans="48:48">
      <c r="AV9667" s="11"/>
    </row>
    <row r="9668" spans="48:48">
      <c r="AV9668" s="11"/>
    </row>
    <row r="9669" spans="48:48">
      <c r="AV9669" s="11"/>
    </row>
    <row r="9670" spans="48:48">
      <c r="AV9670" s="11"/>
    </row>
    <row r="9671" spans="48:48">
      <c r="AV9671" s="11"/>
    </row>
    <row r="9672" spans="48:48">
      <c r="AV9672" s="11"/>
    </row>
    <row r="9673" spans="48:48">
      <c r="AV9673" s="11"/>
    </row>
    <row r="9674" spans="48:48">
      <c r="AV9674" s="11"/>
    </row>
    <row r="9675" spans="48:48">
      <c r="AV9675" s="11"/>
    </row>
    <row r="9676" spans="48:48">
      <c r="AV9676" s="11"/>
    </row>
    <row r="9677" spans="48:48">
      <c r="AV9677" s="11"/>
    </row>
    <row r="9678" spans="48:48">
      <c r="AV9678" s="11"/>
    </row>
    <row r="9679" spans="48:48">
      <c r="AV9679" s="11"/>
    </row>
    <row r="9680" spans="48:48">
      <c r="AV9680" s="11"/>
    </row>
    <row r="9681" spans="27:56">
      <c r="AV9681" s="11"/>
    </row>
    <row r="9682" spans="27:56">
      <c r="AV9682" s="11"/>
    </row>
    <row r="9683" spans="27:56">
      <c r="AV9683" s="11"/>
    </row>
    <row r="9684" spans="27:56">
      <c r="AV9684" s="11"/>
    </row>
    <row r="9685" spans="27:56">
      <c r="AV9685" s="11"/>
    </row>
    <row r="9686" spans="27:56">
      <c r="AV9686" s="11"/>
    </row>
    <row r="9687" spans="27:56">
      <c r="AV9687" s="11"/>
    </row>
    <row r="9688" spans="27:56">
      <c r="AV9688" s="11"/>
    </row>
    <row r="9689" spans="27:56">
      <c r="AV9689" s="11"/>
      <c r="BD9689" s="4"/>
    </row>
    <row r="9690" spans="27:56">
      <c r="AV9690" s="11"/>
    </row>
    <row r="9691" spans="27:56">
      <c r="AV9691" s="11"/>
    </row>
    <row r="9692" spans="27:56">
      <c r="AA9692" s="4"/>
      <c r="AV9692" s="11"/>
    </row>
    <row r="9693" spans="27:56">
      <c r="AA9693" s="4"/>
      <c r="AV9693" s="11"/>
    </row>
    <row r="9694" spans="27:56">
      <c r="AA9694" s="4"/>
      <c r="AV9694" s="11"/>
    </row>
    <row r="9695" spans="27:56">
      <c r="AA9695" s="4"/>
      <c r="AV9695" s="11"/>
    </row>
    <row r="9696" spans="27:56">
      <c r="AA9696" s="4"/>
      <c r="AV9696" s="11"/>
    </row>
    <row r="9697" spans="27:48">
      <c r="AA9697" s="4"/>
      <c r="AV9697" s="11"/>
    </row>
    <row r="9698" spans="27:48">
      <c r="AV9698" s="11"/>
    </row>
    <row r="9699" spans="27:48">
      <c r="AV9699" s="11"/>
    </row>
    <row r="9700" spans="27:48">
      <c r="AV9700" s="11"/>
    </row>
    <row r="9701" spans="27:48">
      <c r="AV9701" s="11"/>
    </row>
    <row r="9702" spans="27:48">
      <c r="AV9702" s="11"/>
    </row>
    <row r="9703" spans="27:48">
      <c r="AV9703" s="11"/>
    </row>
    <row r="9704" spans="27:48">
      <c r="AV9704" s="11"/>
    </row>
    <row r="9705" spans="27:48">
      <c r="AV9705" s="11"/>
    </row>
    <row r="9706" spans="27:48">
      <c r="AV9706" s="11"/>
    </row>
    <row r="9707" spans="27:48">
      <c r="AV9707" s="11"/>
    </row>
    <row r="9708" spans="27:48">
      <c r="AV9708" s="11"/>
    </row>
    <row r="9709" spans="27:48">
      <c r="AV9709" s="11"/>
    </row>
    <row r="9710" spans="27:48">
      <c r="AV9710" s="11"/>
    </row>
    <row r="9711" spans="27:48">
      <c r="AV9711" s="11"/>
    </row>
    <row r="9712" spans="27:48">
      <c r="AV9712" s="11"/>
    </row>
    <row r="9713" spans="48:48">
      <c r="AV9713" s="11"/>
    </row>
    <row r="9714" spans="48:48">
      <c r="AV9714" s="11"/>
    </row>
    <row r="9715" spans="48:48">
      <c r="AV9715" s="11"/>
    </row>
    <row r="9716" spans="48:48">
      <c r="AV9716" s="11"/>
    </row>
    <row r="9717" spans="48:48">
      <c r="AV9717" s="11"/>
    </row>
    <row r="9718" spans="48:48">
      <c r="AV9718" s="11"/>
    </row>
    <row r="9719" spans="48:48">
      <c r="AV9719" s="11"/>
    </row>
    <row r="9720" spans="48:48">
      <c r="AV9720" s="11"/>
    </row>
    <row r="9721" spans="48:48">
      <c r="AV9721" s="11"/>
    </row>
    <row r="9722" spans="48:48">
      <c r="AV9722" s="11"/>
    </row>
    <row r="9723" spans="48:48">
      <c r="AV9723" s="11"/>
    </row>
    <row r="9724" spans="48:48">
      <c r="AV9724" s="11"/>
    </row>
    <row r="9725" spans="48:48">
      <c r="AV9725" s="11"/>
    </row>
    <row r="9726" spans="48:48">
      <c r="AV9726" s="11"/>
    </row>
    <row r="9727" spans="48:48">
      <c r="AV9727" s="11"/>
    </row>
    <row r="9728" spans="48:48">
      <c r="AV9728" s="11"/>
    </row>
    <row r="9729" spans="48:48">
      <c r="AV9729" s="11"/>
    </row>
    <row r="9730" spans="48:48">
      <c r="AV9730" s="11"/>
    </row>
    <row r="9731" spans="48:48">
      <c r="AV9731" s="11"/>
    </row>
    <row r="9732" spans="48:48">
      <c r="AV9732" s="11"/>
    </row>
    <row r="9733" spans="48:48">
      <c r="AV9733" s="11"/>
    </row>
    <row r="9734" spans="48:48">
      <c r="AV9734" s="11"/>
    </row>
    <row r="9735" spans="48:48">
      <c r="AV9735" s="11"/>
    </row>
    <row r="9736" spans="48:48">
      <c r="AV9736" s="11"/>
    </row>
    <row r="9737" spans="48:48">
      <c r="AV9737" s="11"/>
    </row>
    <row r="9738" spans="48:48">
      <c r="AV9738" s="11"/>
    </row>
    <row r="9739" spans="48:48">
      <c r="AV9739" s="11"/>
    </row>
    <row r="9740" spans="48:48">
      <c r="AV9740" s="11"/>
    </row>
    <row r="9741" spans="48:48">
      <c r="AV9741" s="11"/>
    </row>
    <row r="9742" spans="48:48">
      <c r="AV9742" s="11"/>
    </row>
    <row r="9743" spans="48:48">
      <c r="AV9743" s="11"/>
    </row>
    <row r="9744" spans="48:48">
      <c r="AV9744" s="11"/>
    </row>
    <row r="9745" spans="48:56">
      <c r="AV9745" s="11"/>
    </row>
    <row r="9746" spans="48:56">
      <c r="AV9746" s="11"/>
    </row>
    <row r="9747" spans="48:56">
      <c r="AV9747" s="11"/>
    </row>
    <row r="9748" spans="48:56">
      <c r="AV9748" s="11"/>
    </row>
    <row r="9749" spans="48:56">
      <c r="AV9749" s="11"/>
    </row>
    <row r="9750" spans="48:56">
      <c r="AV9750" s="11"/>
      <c r="BD9750" s="4"/>
    </row>
    <row r="9751" spans="48:56">
      <c r="AV9751" s="11"/>
    </row>
    <row r="9752" spans="48:56">
      <c r="AV9752" s="11"/>
    </row>
    <row r="9753" spans="48:56">
      <c r="AV9753" s="11"/>
    </row>
    <row r="9754" spans="48:56">
      <c r="AV9754" s="11"/>
    </row>
    <row r="9755" spans="48:56">
      <c r="AV9755" s="11"/>
    </row>
    <row r="9756" spans="48:56">
      <c r="AV9756" s="11"/>
    </row>
    <row r="9757" spans="48:56">
      <c r="AV9757" s="11"/>
    </row>
    <row r="9758" spans="48:56">
      <c r="AV9758" s="11"/>
    </row>
    <row r="9759" spans="48:56">
      <c r="AV9759" s="11"/>
    </row>
    <row r="9760" spans="48:56">
      <c r="AV9760" s="11"/>
    </row>
    <row r="9761" spans="48:56">
      <c r="AV9761" s="11"/>
    </row>
    <row r="9762" spans="48:56">
      <c r="AV9762" s="11"/>
    </row>
    <row r="9763" spans="48:56">
      <c r="AV9763" s="11"/>
    </row>
    <row r="9764" spans="48:56">
      <c r="AV9764" s="11"/>
    </row>
    <row r="9765" spans="48:56">
      <c r="AV9765" s="11"/>
    </row>
    <row r="9766" spans="48:56">
      <c r="AV9766" s="11"/>
    </row>
    <row r="9767" spans="48:56">
      <c r="AV9767" s="11"/>
    </row>
    <row r="9768" spans="48:56">
      <c r="AV9768" s="11"/>
    </row>
    <row r="9769" spans="48:56">
      <c r="AV9769" s="11"/>
    </row>
    <row r="9770" spans="48:56">
      <c r="AV9770" s="11"/>
      <c r="BD9770" s="4"/>
    </row>
    <row r="9771" spans="48:56">
      <c r="AV9771" s="11"/>
    </row>
    <row r="9772" spans="48:56">
      <c r="AV9772" s="11"/>
    </row>
    <row r="9773" spans="48:56">
      <c r="AV9773" s="11"/>
    </row>
    <row r="9774" spans="48:56">
      <c r="AV9774" s="11"/>
    </row>
    <row r="9775" spans="48:56">
      <c r="AV9775" s="11"/>
    </row>
    <row r="9776" spans="48:56">
      <c r="AV9776" s="11"/>
    </row>
    <row r="9777" spans="48:56">
      <c r="AV9777" s="11"/>
      <c r="BD9777" s="4"/>
    </row>
    <row r="9778" spans="48:56">
      <c r="AV9778" s="11"/>
    </row>
    <row r="9779" spans="48:56">
      <c r="AV9779" s="11"/>
    </row>
    <row r="9780" spans="48:56">
      <c r="AV9780" s="11"/>
    </row>
    <row r="9781" spans="48:56">
      <c r="AV9781" s="11"/>
    </row>
    <row r="9782" spans="48:56">
      <c r="AV9782" s="11"/>
    </row>
    <row r="9783" spans="48:56">
      <c r="AV9783" s="11"/>
    </row>
    <row r="9784" spans="48:56">
      <c r="AV9784" s="11"/>
    </row>
    <row r="9785" spans="48:56">
      <c r="AV9785" s="11"/>
    </row>
    <row r="9786" spans="48:56">
      <c r="AV9786" s="11"/>
    </row>
    <row r="9787" spans="48:56">
      <c r="AV9787" s="11"/>
    </row>
    <row r="9788" spans="48:56">
      <c r="AV9788" s="11"/>
    </row>
    <row r="9789" spans="48:56">
      <c r="AV9789" s="11"/>
    </row>
    <row r="9790" spans="48:56">
      <c r="AV9790" s="11"/>
    </row>
    <row r="9791" spans="48:56">
      <c r="AV9791" s="11"/>
    </row>
    <row r="9792" spans="48:56">
      <c r="AV9792" s="11"/>
    </row>
    <row r="9793" spans="48:48">
      <c r="AV9793" s="11"/>
    </row>
    <row r="9794" spans="48:48">
      <c r="AV9794" s="11"/>
    </row>
    <row r="9795" spans="48:48">
      <c r="AV9795" s="11"/>
    </row>
    <row r="9796" spans="48:48">
      <c r="AV9796" s="11"/>
    </row>
    <row r="9797" spans="48:48">
      <c r="AV9797" s="11"/>
    </row>
    <row r="9798" spans="48:48">
      <c r="AV9798" s="11"/>
    </row>
    <row r="9799" spans="48:48">
      <c r="AV9799" s="11"/>
    </row>
    <row r="9800" spans="48:48">
      <c r="AV9800" s="11"/>
    </row>
    <row r="9801" spans="48:48">
      <c r="AV9801" s="11"/>
    </row>
    <row r="9802" spans="48:48">
      <c r="AV9802" s="11"/>
    </row>
    <row r="9803" spans="48:48">
      <c r="AV9803" s="11"/>
    </row>
    <row r="9804" spans="48:48">
      <c r="AV9804" s="11"/>
    </row>
    <row r="9805" spans="48:48">
      <c r="AV9805" s="11"/>
    </row>
    <row r="9806" spans="48:48">
      <c r="AV9806" s="11"/>
    </row>
    <row r="9807" spans="48:48">
      <c r="AV9807" s="11"/>
    </row>
    <row r="9808" spans="48:48">
      <c r="AV9808" s="11"/>
    </row>
    <row r="9809" spans="48:48">
      <c r="AV9809" s="11"/>
    </row>
    <row r="9810" spans="48:48">
      <c r="AV9810" s="11"/>
    </row>
    <row r="9811" spans="48:48">
      <c r="AV9811" s="11"/>
    </row>
    <row r="9812" spans="48:48">
      <c r="AV9812" s="11"/>
    </row>
    <row r="9813" spans="48:48">
      <c r="AV9813" s="11"/>
    </row>
    <row r="9814" spans="48:48">
      <c r="AV9814" s="11"/>
    </row>
    <row r="9815" spans="48:48">
      <c r="AV9815" s="11"/>
    </row>
    <row r="9816" spans="48:48">
      <c r="AV9816" s="11"/>
    </row>
    <row r="9817" spans="48:48">
      <c r="AV9817" s="11"/>
    </row>
    <row r="9818" spans="48:48">
      <c r="AV9818" s="11"/>
    </row>
    <row r="9819" spans="48:48">
      <c r="AV9819" s="11"/>
    </row>
    <row r="9820" spans="48:48">
      <c r="AV9820" s="11"/>
    </row>
    <row r="9821" spans="48:48">
      <c r="AV9821" s="11"/>
    </row>
    <row r="9822" spans="48:48">
      <c r="AV9822" s="11"/>
    </row>
    <row r="9823" spans="48:48">
      <c r="AV9823" s="11"/>
    </row>
    <row r="9824" spans="48:48">
      <c r="AV9824" s="11"/>
    </row>
    <row r="9825" spans="48:48">
      <c r="AV9825" s="11"/>
    </row>
    <row r="9826" spans="48:48">
      <c r="AV9826" s="11"/>
    </row>
    <row r="9827" spans="48:48">
      <c r="AV9827" s="11"/>
    </row>
    <row r="9828" spans="48:48">
      <c r="AV9828" s="11"/>
    </row>
    <row r="9829" spans="48:48">
      <c r="AV9829" s="11"/>
    </row>
    <row r="9830" spans="48:48">
      <c r="AV9830" s="11"/>
    </row>
    <row r="9831" spans="48:48">
      <c r="AV9831" s="11"/>
    </row>
    <row r="9832" spans="48:48">
      <c r="AV9832" s="11"/>
    </row>
    <row r="9833" spans="48:48">
      <c r="AV9833" s="11"/>
    </row>
    <row r="9834" spans="48:48">
      <c r="AV9834" s="11"/>
    </row>
    <row r="9835" spans="48:48">
      <c r="AV9835" s="11"/>
    </row>
    <row r="9836" spans="48:48">
      <c r="AV9836" s="11"/>
    </row>
    <row r="9837" spans="48:48">
      <c r="AV9837" s="11"/>
    </row>
    <row r="9838" spans="48:48">
      <c r="AV9838" s="11"/>
    </row>
    <row r="9839" spans="48:48">
      <c r="AV9839" s="11"/>
    </row>
    <row r="9840" spans="48:48">
      <c r="AV9840" s="11"/>
    </row>
    <row r="9841" spans="48:48">
      <c r="AV9841" s="11"/>
    </row>
    <row r="9842" spans="48:48">
      <c r="AV9842" s="11"/>
    </row>
    <row r="9843" spans="48:48">
      <c r="AV9843" s="11"/>
    </row>
    <row r="9844" spans="48:48">
      <c r="AV9844" s="11"/>
    </row>
    <row r="9845" spans="48:48">
      <c r="AV9845" s="11"/>
    </row>
    <row r="9846" spans="48:48">
      <c r="AV9846" s="11"/>
    </row>
    <row r="9847" spans="48:48">
      <c r="AV9847" s="11"/>
    </row>
    <row r="9848" spans="48:48">
      <c r="AV9848" s="11"/>
    </row>
    <row r="9849" spans="48:48">
      <c r="AV9849" s="11"/>
    </row>
    <row r="9850" spans="48:48">
      <c r="AV9850" s="11"/>
    </row>
    <row r="9851" spans="48:48">
      <c r="AV9851" s="11"/>
    </row>
    <row r="9852" spans="48:48">
      <c r="AV9852" s="11"/>
    </row>
    <row r="9853" spans="48:48">
      <c r="AV9853" s="11"/>
    </row>
    <row r="9854" spans="48:48">
      <c r="AV9854" s="11"/>
    </row>
    <row r="9855" spans="48:48">
      <c r="AV9855" s="11"/>
    </row>
    <row r="9856" spans="48:48">
      <c r="AV9856" s="11"/>
    </row>
    <row r="9857" spans="48:56">
      <c r="AV9857" s="11"/>
      <c r="BD9857" s="4"/>
    </row>
    <row r="9858" spans="48:56">
      <c r="AV9858" s="11"/>
    </row>
    <row r="9859" spans="48:56">
      <c r="AV9859" s="11"/>
    </row>
    <row r="9860" spans="48:56">
      <c r="AV9860" s="11"/>
    </row>
    <row r="9861" spans="48:56">
      <c r="AV9861" s="11"/>
    </row>
    <row r="9862" spans="48:56">
      <c r="AV9862" s="11"/>
    </row>
    <row r="9863" spans="48:56">
      <c r="AV9863" s="11"/>
    </row>
    <row r="9864" spans="48:56">
      <c r="AV9864" s="11"/>
    </row>
    <row r="9865" spans="48:56">
      <c r="AV9865" s="11"/>
    </row>
    <row r="9866" spans="48:56">
      <c r="AV9866" s="11"/>
    </row>
    <row r="9867" spans="48:56">
      <c r="AV9867" s="11"/>
    </row>
    <row r="9868" spans="48:56">
      <c r="AV9868" s="11"/>
      <c r="BD9868" s="4"/>
    </row>
    <row r="9869" spans="48:56">
      <c r="AV9869" s="11"/>
    </row>
    <row r="9870" spans="48:56">
      <c r="AV9870" s="11"/>
    </row>
    <row r="9871" spans="48:56">
      <c r="AV9871" s="11"/>
    </row>
    <row r="9872" spans="48:56">
      <c r="AV9872" s="11"/>
    </row>
    <row r="9873" spans="48:48">
      <c r="AV9873" s="11"/>
    </row>
    <row r="9874" spans="48:48">
      <c r="AV9874" s="11"/>
    </row>
    <row r="9875" spans="48:48">
      <c r="AV9875" s="11"/>
    </row>
    <row r="9876" spans="48:48">
      <c r="AV9876" s="11"/>
    </row>
    <row r="9877" spans="48:48">
      <c r="AV9877" s="11"/>
    </row>
    <row r="9878" spans="48:48">
      <c r="AV9878" s="11"/>
    </row>
    <row r="9879" spans="48:48">
      <c r="AV9879" s="11"/>
    </row>
    <row r="9880" spans="48:48">
      <c r="AV9880" s="11"/>
    </row>
    <row r="9881" spans="48:48">
      <c r="AV9881" s="11"/>
    </row>
    <row r="9882" spans="48:48">
      <c r="AV9882" s="11"/>
    </row>
    <row r="9883" spans="48:48">
      <c r="AV9883" s="11"/>
    </row>
    <row r="9884" spans="48:48">
      <c r="AV9884" s="11"/>
    </row>
    <row r="9885" spans="48:48">
      <c r="AV9885" s="11"/>
    </row>
    <row r="9886" spans="48:48">
      <c r="AV9886" s="11"/>
    </row>
    <row r="9887" spans="48:48">
      <c r="AV9887" s="11"/>
    </row>
    <row r="9888" spans="48:48">
      <c r="AV9888" s="11"/>
    </row>
    <row r="9889" spans="27:48">
      <c r="AV9889" s="11"/>
    </row>
    <row r="9890" spans="27:48">
      <c r="AV9890" s="11"/>
    </row>
    <row r="9891" spans="27:48">
      <c r="AV9891" s="11"/>
    </row>
    <row r="9892" spans="27:48">
      <c r="AV9892" s="11"/>
    </row>
    <row r="9893" spans="27:48">
      <c r="AV9893" s="11"/>
    </row>
    <row r="9894" spans="27:48">
      <c r="AV9894" s="11"/>
    </row>
    <row r="9895" spans="27:48">
      <c r="AV9895" s="11"/>
    </row>
    <row r="9896" spans="27:48">
      <c r="AV9896" s="11"/>
    </row>
    <row r="9897" spans="27:48">
      <c r="AV9897" s="11"/>
    </row>
    <row r="9898" spans="27:48">
      <c r="AV9898" s="11"/>
    </row>
    <row r="9899" spans="27:48">
      <c r="AV9899" s="11"/>
    </row>
    <row r="9900" spans="27:48">
      <c r="AA9900" s="4"/>
    </row>
    <row r="9901" spans="27:48">
      <c r="AA9901" s="4"/>
    </row>
    <row r="9902" spans="27:48">
      <c r="AA9902" s="4"/>
    </row>
    <row r="9903" spans="27:48">
      <c r="AA9903" s="4"/>
    </row>
    <row r="9904" spans="27:48">
      <c r="AA9904" s="4"/>
    </row>
    <row r="9905" spans="27:56">
      <c r="AA9905" s="4"/>
    </row>
    <row r="9906" spans="27:56">
      <c r="AA9906" s="4"/>
    </row>
    <row r="9907" spans="27:56">
      <c r="AA9907" s="4"/>
    </row>
    <row r="9908" spans="27:56">
      <c r="AA9908" s="4"/>
    </row>
    <row r="9909" spans="27:56">
      <c r="AA9909" s="4"/>
    </row>
    <row r="9910" spans="27:56">
      <c r="AA9910" s="4"/>
    </row>
    <row r="9911" spans="27:56">
      <c r="AA9911" s="4"/>
    </row>
    <row r="9912" spans="27:56">
      <c r="AA9912" s="4"/>
    </row>
    <row r="9913" spans="27:56">
      <c r="AA9913" s="4"/>
    </row>
    <row r="9914" spans="27:56">
      <c r="AA9914" s="4"/>
    </row>
    <row r="9915" spans="27:56">
      <c r="AA9915" s="4"/>
    </row>
    <row r="9916" spans="27:56">
      <c r="AA9916" s="4"/>
    </row>
    <row r="9917" spans="27:56">
      <c r="AA9917" s="4"/>
    </row>
    <row r="9918" spans="27:56">
      <c r="AA9918" s="4"/>
    </row>
    <row r="9919" spans="27:56">
      <c r="AA9919" s="4"/>
    </row>
    <row r="9920" spans="27:56">
      <c r="AA9920" s="4"/>
      <c r="BD9920" s="4"/>
    </row>
    <row r="9921" spans="27:27">
      <c r="AA9921" s="4"/>
    </row>
    <row r="9922" spans="27:27">
      <c r="AA9922" s="4"/>
    </row>
    <row r="9923" spans="27:27">
      <c r="AA9923" s="4"/>
    </row>
    <row r="9924" spans="27:27">
      <c r="AA9924" s="4"/>
    </row>
    <row r="9925" spans="27:27">
      <c r="AA9925" s="4"/>
    </row>
    <row r="9926" spans="27:27">
      <c r="AA9926" s="4"/>
    </row>
    <row r="9927" spans="27:27">
      <c r="AA9927" s="4"/>
    </row>
    <row r="9928" spans="27:27">
      <c r="AA9928" s="4"/>
    </row>
    <row r="9929" spans="27:27">
      <c r="AA9929" s="4"/>
    </row>
    <row r="9930" spans="27:27">
      <c r="AA9930" s="4"/>
    </row>
    <row r="9931" spans="27:27">
      <c r="AA9931" s="4"/>
    </row>
    <row r="9932" spans="27:27">
      <c r="AA9932" s="4"/>
    </row>
    <row r="9933" spans="27:27">
      <c r="AA9933" s="4"/>
    </row>
    <row r="9934" spans="27:27">
      <c r="AA9934" s="4"/>
    </row>
    <row r="9935" spans="27:27">
      <c r="AA9935" s="4"/>
    </row>
    <row r="9936" spans="27:27">
      <c r="AA9936" s="4"/>
    </row>
    <row r="9937" spans="27:48">
      <c r="AA9937" s="4"/>
    </row>
    <row r="9938" spans="27:48">
      <c r="AA9938" s="4"/>
    </row>
    <row r="9939" spans="27:48">
      <c r="AA9939" s="4"/>
    </row>
    <row r="9940" spans="27:48">
      <c r="AA9940" s="4"/>
    </row>
    <row r="9941" spans="27:48">
      <c r="AA9941" s="4"/>
    </row>
    <row r="9942" spans="27:48">
      <c r="AA9942" s="4"/>
    </row>
    <row r="9943" spans="27:48">
      <c r="AV9943" s="11"/>
    </row>
    <row r="9944" spans="27:48">
      <c r="AV9944" s="11"/>
    </row>
    <row r="9945" spans="27:48">
      <c r="AV9945" s="11"/>
    </row>
    <row r="9946" spans="27:48">
      <c r="AV9946" s="11"/>
    </row>
    <row r="9947" spans="27:48">
      <c r="AV9947" s="11"/>
    </row>
    <row r="9948" spans="27:48">
      <c r="AV9948" s="11"/>
    </row>
    <row r="9949" spans="27:48">
      <c r="AV9949" s="11"/>
    </row>
    <row r="9950" spans="27:48">
      <c r="AV9950" s="11"/>
    </row>
    <row r="9951" spans="27:48">
      <c r="AV9951" s="11"/>
    </row>
    <row r="9952" spans="27:48">
      <c r="AV9952" s="11"/>
    </row>
    <row r="9953" spans="27:48">
      <c r="AV9953" s="11"/>
    </row>
    <row r="9954" spans="27:48">
      <c r="AV9954" s="11"/>
    </row>
    <row r="9955" spans="27:48">
      <c r="AV9955" s="11"/>
    </row>
    <row r="9956" spans="27:48">
      <c r="AV9956" s="11"/>
    </row>
    <row r="9957" spans="27:48">
      <c r="AV9957" s="11"/>
    </row>
    <row r="9958" spans="27:48">
      <c r="AV9958" s="11"/>
    </row>
    <row r="9959" spans="27:48">
      <c r="AV9959" s="11"/>
    </row>
    <row r="9960" spans="27:48">
      <c r="AV9960" s="11"/>
    </row>
    <row r="9961" spans="27:48">
      <c r="AV9961" s="11"/>
    </row>
    <row r="9962" spans="27:48">
      <c r="AV9962" s="11"/>
    </row>
    <row r="9963" spans="27:48">
      <c r="AV9963" s="11"/>
    </row>
    <row r="9964" spans="27:48">
      <c r="AA9964" s="4"/>
    </row>
    <row r="9965" spans="27:48">
      <c r="AA9965" s="4"/>
    </row>
    <row r="9966" spans="27:48">
      <c r="AA9966" s="4"/>
    </row>
    <row r="9967" spans="27:48">
      <c r="AA9967" s="4"/>
    </row>
    <row r="9968" spans="27:48">
      <c r="AA9968" s="4"/>
    </row>
    <row r="9969" spans="27:27">
      <c r="AA9969" s="4"/>
    </row>
    <row r="9970" spans="27:27">
      <c r="AA9970" s="4"/>
    </row>
    <row r="9971" spans="27:27">
      <c r="AA9971" s="4"/>
    </row>
    <row r="9972" spans="27:27">
      <c r="AA9972" s="4"/>
    </row>
    <row r="9973" spans="27:27">
      <c r="AA9973" s="4"/>
    </row>
    <row r="9974" spans="27:27">
      <c r="AA9974" s="4"/>
    </row>
    <row r="9975" spans="27:27">
      <c r="AA9975" s="4"/>
    </row>
    <row r="9976" spans="27:27">
      <c r="AA9976" s="4"/>
    </row>
    <row r="9977" spans="27:27">
      <c r="AA9977" s="4"/>
    </row>
    <row r="9978" spans="27:27">
      <c r="AA9978" s="4"/>
    </row>
    <row r="9979" spans="27:27">
      <c r="AA9979" s="4"/>
    </row>
    <row r="9980" spans="27:27">
      <c r="AA9980" s="4"/>
    </row>
    <row r="9981" spans="27:27">
      <c r="AA9981" s="4"/>
    </row>
    <row r="9982" spans="27:27">
      <c r="AA9982" s="4"/>
    </row>
    <row r="9983" spans="27:27">
      <c r="AA9983" s="4"/>
    </row>
    <row r="9984" spans="27:27">
      <c r="AA9984" s="4"/>
    </row>
    <row r="9985" spans="27:27">
      <c r="AA9985" s="4"/>
    </row>
    <row r="9986" spans="27:27">
      <c r="AA9986" s="4"/>
    </row>
    <row r="9987" spans="27:27">
      <c r="AA9987" s="4"/>
    </row>
    <row r="9988" spans="27:27">
      <c r="AA9988" s="4"/>
    </row>
    <row r="9989" spans="27:27">
      <c r="AA9989" s="4"/>
    </row>
    <row r="9990" spans="27:27">
      <c r="AA9990" s="4"/>
    </row>
    <row r="9991" spans="27:27">
      <c r="AA9991" s="4"/>
    </row>
    <row r="9992" spans="27:27">
      <c r="AA9992" s="4"/>
    </row>
    <row r="9993" spans="27:27">
      <c r="AA9993" s="4"/>
    </row>
    <row r="9994" spans="27:27">
      <c r="AA9994" s="4"/>
    </row>
    <row r="9995" spans="27:27">
      <c r="AA9995" s="4"/>
    </row>
    <row r="9996" spans="27:27">
      <c r="AA9996" s="4"/>
    </row>
    <row r="9997" spans="27:27">
      <c r="AA9997" s="4"/>
    </row>
    <row r="9998" spans="27:27">
      <c r="AA9998" s="4"/>
    </row>
    <row r="9999" spans="27:27">
      <c r="AA9999" s="4"/>
    </row>
    <row r="10000" spans="27:27">
      <c r="AA10000" s="4"/>
    </row>
    <row r="10001" spans="27:27">
      <c r="AA10001" s="4"/>
    </row>
    <row r="10002" spans="27:27">
      <c r="AA10002" s="4"/>
    </row>
    <row r="10003" spans="27:27">
      <c r="AA10003" s="4"/>
    </row>
    <row r="10004" spans="27:27">
      <c r="AA10004" s="4"/>
    </row>
    <row r="10005" spans="27:27">
      <c r="AA10005" s="4"/>
    </row>
    <row r="10006" spans="27:27">
      <c r="AA10006" s="4"/>
    </row>
    <row r="10007" spans="27:27">
      <c r="AA10007" s="4"/>
    </row>
    <row r="10008" spans="27:27">
      <c r="AA10008" s="4"/>
    </row>
    <row r="10009" spans="27:27">
      <c r="AA10009" s="4"/>
    </row>
    <row r="10010" spans="27:27">
      <c r="AA10010" s="4"/>
    </row>
    <row r="10011" spans="27:27">
      <c r="AA10011" s="4"/>
    </row>
    <row r="10012" spans="27:27">
      <c r="AA10012" s="4"/>
    </row>
    <row r="10013" spans="27:27">
      <c r="AA10013" s="4"/>
    </row>
    <row r="10014" spans="27:27">
      <c r="AA10014" s="4"/>
    </row>
    <row r="10015" spans="27:27">
      <c r="AA10015" s="4"/>
    </row>
    <row r="10016" spans="27:27">
      <c r="AA10016" s="4"/>
    </row>
    <row r="10017" spans="27:27">
      <c r="AA10017" s="4"/>
    </row>
    <row r="10018" spans="27:27">
      <c r="AA10018" s="4"/>
    </row>
    <row r="10019" spans="27:27">
      <c r="AA10019" s="4"/>
    </row>
    <row r="10020" spans="27:27">
      <c r="AA10020" s="4"/>
    </row>
    <row r="10021" spans="27:27">
      <c r="AA10021" s="4"/>
    </row>
    <row r="10022" spans="27:27">
      <c r="AA10022" s="4"/>
    </row>
    <row r="10023" spans="27:27">
      <c r="AA10023" s="4"/>
    </row>
    <row r="10024" spans="27:27">
      <c r="AA10024" s="4"/>
    </row>
    <row r="10025" spans="27:27">
      <c r="AA10025" s="4"/>
    </row>
    <row r="10026" spans="27:27">
      <c r="AA10026" s="4"/>
    </row>
    <row r="10027" spans="27:27">
      <c r="AA10027" s="4"/>
    </row>
    <row r="10028" spans="27:27">
      <c r="AA10028" s="4"/>
    </row>
    <row r="10029" spans="27:27">
      <c r="AA10029" s="4"/>
    </row>
    <row r="10030" spans="27:27">
      <c r="AA10030" s="4"/>
    </row>
    <row r="10031" spans="27:27">
      <c r="AA10031" s="4"/>
    </row>
    <row r="10032" spans="27:27">
      <c r="AA10032" s="4"/>
    </row>
    <row r="10033" spans="27:27">
      <c r="AA10033" s="4"/>
    </row>
    <row r="10034" spans="27:27">
      <c r="AA10034" s="4"/>
    </row>
    <row r="10035" spans="27:27">
      <c r="AA10035" s="4"/>
    </row>
    <row r="10036" spans="27:27">
      <c r="AA10036" s="4"/>
    </row>
    <row r="10037" spans="27:27">
      <c r="AA10037" s="4"/>
    </row>
    <row r="10038" spans="27:27">
      <c r="AA10038" s="4"/>
    </row>
    <row r="10039" spans="27:27">
      <c r="AA10039" s="4"/>
    </row>
    <row r="10040" spans="27:27">
      <c r="AA10040" s="4"/>
    </row>
    <row r="10041" spans="27:27">
      <c r="AA10041" s="4"/>
    </row>
    <row r="10042" spans="27:27">
      <c r="AA10042" s="4"/>
    </row>
    <row r="10043" spans="27:27">
      <c r="AA10043" s="4"/>
    </row>
    <row r="10044" spans="27:27">
      <c r="AA10044" s="4"/>
    </row>
    <row r="10045" spans="27:27">
      <c r="AA10045" s="4"/>
    </row>
    <row r="10046" spans="27:27">
      <c r="AA10046" s="4"/>
    </row>
    <row r="10047" spans="27:27">
      <c r="AA10047" s="4"/>
    </row>
    <row r="10048" spans="27:27">
      <c r="AA10048" s="4"/>
    </row>
    <row r="10049" spans="27:27">
      <c r="AA10049" s="4"/>
    </row>
    <row r="10050" spans="27:27">
      <c r="AA10050" s="4"/>
    </row>
    <row r="10051" spans="27:27">
      <c r="AA10051" s="4"/>
    </row>
    <row r="10052" spans="27:27">
      <c r="AA10052" s="4"/>
    </row>
    <row r="10053" spans="27:27">
      <c r="AA10053" s="4"/>
    </row>
    <row r="10054" spans="27:27">
      <c r="AA10054" s="4"/>
    </row>
    <row r="10055" spans="27:27">
      <c r="AA10055" s="4"/>
    </row>
    <row r="10056" spans="27:27">
      <c r="AA10056" s="4"/>
    </row>
    <row r="10057" spans="27:27">
      <c r="AA10057" s="4"/>
    </row>
    <row r="10058" spans="27:27">
      <c r="AA10058" s="4"/>
    </row>
    <row r="10059" spans="27:27">
      <c r="AA10059" s="4"/>
    </row>
    <row r="10060" spans="27:27">
      <c r="AA10060" s="4"/>
    </row>
    <row r="10061" spans="27:27">
      <c r="AA10061" s="4"/>
    </row>
    <row r="10062" spans="27:27">
      <c r="AA10062" s="4"/>
    </row>
    <row r="10063" spans="27:27">
      <c r="AA10063" s="4"/>
    </row>
    <row r="10064" spans="27:27">
      <c r="AA10064" s="4"/>
    </row>
    <row r="10065" spans="27:27">
      <c r="AA10065" s="4"/>
    </row>
    <row r="10066" spans="27:27">
      <c r="AA10066" s="4"/>
    </row>
    <row r="10067" spans="27:27">
      <c r="AA10067" s="4"/>
    </row>
    <row r="10068" spans="27:27">
      <c r="AA10068" s="4"/>
    </row>
    <row r="10069" spans="27:27">
      <c r="AA10069" s="4"/>
    </row>
    <row r="10070" spans="27:27">
      <c r="AA10070" s="4"/>
    </row>
    <row r="10071" spans="27:27">
      <c r="AA10071" s="4"/>
    </row>
    <row r="10072" spans="27:27">
      <c r="AA10072" s="4"/>
    </row>
    <row r="10073" spans="27:27">
      <c r="AA10073" s="4"/>
    </row>
    <row r="10074" spans="27:27">
      <c r="AA10074" s="4"/>
    </row>
    <row r="10075" spans="27:27">
      <c r="AA10075" s="4"/>
    </row>
    <row r="10076" spans="27:27">
      <c r="AA10076" s="4"/>
    </row>
    <row r="10077" spans="27:27">
      <c r="AA10077" s="4"/>
    </row>
    <row r="10078" spans="27:27">
      <c r="AA10078" s="4"/>
    </row>
    <row r="10079" spans="27:27">
      <c r="AA10079" s="4"/>
    </row>
    <row r="10080" spans="27:27">
      <c r="AA10080" s="4"/>
    </row>
    <row r="10081" spans="27:56">
      <c r="AA10081" s="4"/>
    </row>
    <row r="10082" spans="27:56">
      <c r="AA10082" s="4"/>
    </row>
    <row r="10083" spans="27:56">
      <c r="AA10083" s="4"/>
    </row>
    <row r="10084" spans="27:56">
      <c r="AA10084" s="4"/>
    </row>
    <row r="10085" spans="27:56">
      <c r="AA10085" s="4"/>
    </row>
    <row r="10086" spans="27:56">
      <c r="AA10086" s="4"/>
    </row>
    <row r="10087" spans="27:56">
      <c r="AA10087" s="4"/>
    </row>
    <row r="10088" spans="27:56">
      <c r="AA10088" s="4"/>
    </row>
    <row r="10089" spans="27:56">
      <c r="AA10089" s="4"/>
    </row>
    <row r="10090" spans="27:56">
      <c r="AA10090" s="4"/>
    </row>
    <row r="10091" spans="27:56">
      <c r="AA10091" s="4"/>
    </row>
    <row r="10092" spans="27:56">
      <c r="AA10092" s="4"/>
      <c r="BD10092" s="4"/>
    </row>
    <row r="10093" spans="27:56">
      <c r="AA10093" s="4"/>
    </row>
    <row r="10094" spans="27:56">
      <c r="AA10094" s="4"/>
    </row>
    <row r="10095" spans="27:56">
      <c r="AA10095" s="4"/>
    </row>
    <row r="10096" spans="27:56">
      <c r="AA10096" s="4"/>
      <c r="BD10096" s="4"/>
    </row>
    <row r="10097" spans="27:27">
      <c r="AA10097" s="4"/>
    </row>
    <row r="10098" spans="27:27">
      <c r="AA10098" s="4"/>
    </row>
    <row r="10099" spans="27:27">
      <c r="AA10099" s="4"/>
    </row>
    <row r="10100" spans="27:27">
      <c r="AA10100" s="4"/>
    </row>
    <row r="10101" spans="27:27">
      <c r="AA10101" s="4"/>
    </row>
    <row r="10102" spans="27:27">
      <c r="AA10102" s="4"/>
    </row>
    <row r="10103" spans="27:27">
      <c r="AA10103" s="4"/>
    </row>
    <row r="10104" spans="27:27">
      <c r="AA10104" s="4"/>
    </row>
    <row r="10105" spans="27:27">
      <c r="AA10105" s="4"/>
    </row>
    <row r="10106" spans="27:27">
      <c r="AA10106" s="4"/>
    </row>
    <row r="10107" spans="27:27">
      <c r="AA10107" s="4"/>
    </row>
    <row r="10108" spans="27:27">
      <c r="AA10108" s="4"/>
    </row>
    <row r="10109" spans="27:27">
      <c r="AA10109" s="4"/>
    </row>
    <row r="10110" spans="27:27">
      <c r="AA10110" s="4"/>
    </row>
    <row r="10111" spans="27:27">
      <c r="AA10111" s="4"/>
    </row>
    <row r="10112" spans="27:27">
      <c r="AA10112" s="4"/>
    </row>
    <row r="10113" spans="27:48">
      <c r="AA10113" s="4"/>
    </row>
    <row r="10114" spans="27:48">
      <c r="AA10114" s="4"/>
    </row>
    <row r="10115" spans="27:48">
      <c r="AA10115" s="4"/>
    </row>
    <row r="10116" spans="27:48">
      <c r="AA10116" s="4"/>
      <c r="AV10116" s="11"/>
    </row>
    <row r="10117" spans="27:48">
      <c r="AA10117" s="4"/>
      <c r="AV10117" s="11"/>
    </row>
    <row r="10118" spans="27:48">
      <c r="AA10118" s="4"/>
      <c r="AV10118" s="11"/>
    </row>
    <row r="10119" spans="27:48">
      <c r="AA10119" s="4"/>
      <c r="AV10119" s="11"/>
    </row>
    <row r="10120" spans="27:48">
      <c r="AA10120" s="4"/>
      <c r="AV10120" s="11"/>
    </row>
    <row r="10121" spans="27:48">
      <c r="AA10121" s="4"/>
      <c r="AV10121" s="11"/>
    </row>
    <row r="10122" spans="27:48">
      <c r="AA10122" s="4"/>
      <c r="AV10122" s="11"/>
    </row>
    <row r="10123" spans="27:48">
      <c r="AA10123" s="4"/>
      <c r="AV10123" s="11"/>
    </row>
    <row r="10124" spans="27:48">
      <c r="AA10124" s="4"/>
      <c r="AV10124" s="11"/>
    </row>
    <row r="10125" spans="27:48">
      <c r="AA10125" s="4"/>
      <c r="AV10125" s="11"/>
    </row>
    <row r="10126" spans="27:48">
      <c r="AA10126" s="4"/>
      <c r="AV10126" s="11"/>
    </row>
    <row r="10127" spans="27:48">
      <c r="AA10127" s="4"/>
      <c r="AV10127" s="11"/>
    </row>
    <row r="10128" spans="27:48">
      <c r="AA10128" s="4"/>
      <c r="AV10128" s="11"/>
    </row>
    <row r="10129" spans="27:48">
      <c r="AA10129" s="4"/>
      <c r="AV10129" s="11"/>
    </row>
    <row r="10130" spans="27:48">
      <c r="AA10130" s="4"/>
      <c r="AV10130" s="11"/>
    </row>
    <row r="10131" spans="27:48">
      <c r="AA10131" s="4"/>
      <c r="AV10131" s="11"/>
    </row>
    <row r="10132" spans="27:48">
      <c r="AA10132" s="4"/>
      <c r="AV10132" s="11"/>
    </row>
    <row r="10133" spans="27:48">
      <c r="AA10133" s="4"/>
      <c r="AV10133" s="11"/>
    </row>
    <row r="10134" spans="27:48">
      <c r="AA10134" s="4"/>
      <c r="AV10134" s="11"/>
    </row>
    <row r="10135" spans="27:48">
      <c r="AA10135" s="4"/>
      <c r="AV10135" s="11"/>
    </row>
    <row r="10136" spans="27:48">
      <c r="AA10136" s="4"/>
      <c r="AV10136" s="11"/>
    </row>
    <row r="10137" spans="27:48">
      <c r="AA10137" s="4"/>
      <c r="AV10137" s="11"/>
    </row>
    <row r="10138" spans="27:48">
      <c r="AA10138" s="4"/>
      <c r="AV10138" s="11"/>
    </row>
    <row r="10139" spans="27:48">
      <c r="AA10139" s="4"/>
      <c r="AV10139" s="11"/>
    </row>
    <row r="10140" spans="27:48">
      <c r="AA10140" s="4"/>
      <c r="AV10140" s="11"/>
    </row>
    <row r="10141" spans="27:48">
      <c r="AA10141" s="4"/>
      <c r="AV10141" s="11"/>
    </row>
    <row r="10142" spans="27:48">
      <c r="AA10142" s="4"/>
      <c r="AV10142" s="11"/>
    </row>
    <row r="10143" spans="27:48">
      <c r="AA10143" s="4"/>
      <c r="AV10143" s="11"/>
    </row>
    <row r="10144" spans="27:48">
      <c r="AA10144" s="4"/>
      <c r="AV10144" s="11"/>
    </row>
    <row r="10145" spans="27:48">
      <c r="AA10145" s="4"/>
      <c r="AV10145" s="11"/>
    </row>
    <row r="10146" spans="27:48">
      <c r="AA10146" s="4"/>
      <c r="AV10146" s="11"/>
    </row>
    <row r="10147" spans="27:48">
      <c r="AA10147" s="4"/>
      <c r="AV10147" s="11"/>
    </row>
    <row r="10148" spans="27:48">
      <c r="AA10148" s="4"/>
      <c r="AV10148" s="11"/>
    </row>
    <row r="10149" spans="27:48">
      <c r="AA10149" s="4"/>
      <c r="AV10149" s="11"/>
    </row>
    <row r="10150" spans="27:48">
      <c r="AA10150" s="4"/>
      <c r="AV10150" s="11"/>
    </row>
    <row r="10151" spans="27:48">
      <c r="AA10151" s="4"/>
      <c r="AV10151" s="11"/>
    </row>
    <row r="10152" spans="27:48">
      <c r="AA10152" s="4"/>
      <c r="AV10152" s="11"/>
    </row>
    <row r="10153" spans="27:48">
      <c r="AA10153" s="4"/>
      <c r="AV10153" s="11"/>
    </row>
    <row r="10154" spans="27:48">
      <c r="AA10154" s="4"/>
      <c r="AV10154" s="11"/>
    </row>
    <row r="10155" spans="27:48">
      <c r="AA10155" s="4"/>
      <c r="AV10155" s="11"/>
    </row>
    <row r="10156" spans="27:48">
      <c r="AA10156" s="4"/>
      <c r="AV10156" s="11"/>
    </row>
    <row r="10157" spans="27:48">
      <c r="AA10157" s="4"/>
      <c r="AV10157" s="11"/>
    </row>
    <row r="10158" spans="27:48">
      <c r="AA10158" s="4"/>
      <c r="AV10158" s="11"/>
    </row>
    <row r="10159" spans="27:48">
      <c r="AA10159" s="4"/>
      <c r="AV10159" s="11"/>
    </row>
    <row r="10160" spans="27:48">
      <c r="AA10160" s="4"/>
      <c r="AV10160" s="11"/>
    </row>
    <row r="10161" spans="27:48">
      <c r="AA10161" s="4"/>
      <c r="AV10161" s="11"/>
    </row>
    <row r="10162" spans="27:48">
      <c r="AA10162" s="4"/>
      <c r="AV10162" s="11"/>
    </row>
    <row r="10163" spans="27:48">
      <c r="AA10163" s="4"/>
      <c r="AV10163" s="11"/>
    </row>
    <row r="10164" spans="27:48">
      <c r="AA10164" s="4"/>
      <c r="AV10164" s="11"/>
    </row>
    <row r="10165" spans="27:48">
      <c r="AA10165" s="4"/>
      <c r="AV10165" s="11"/>
    </row>
    <row r="10166" spans="27:48">
      <c r="AA10166" s="4"/>
      <c r="AV10166" s="11"/>
    </row>
    <row r="10167" spans="27:48">
      <c r="AA10167" s="4"/>
      <c r="AV10167" s="11"/>
    </row>
    <row r="10168" spans="27:48">
      <c r="AA10168" s="4"/>
      <c r="AV10168" s="11"/>
    </row>
    <row r="10169" spans="27:48">
      <c r="AA10169" s="4"/>
      <c r="AV10169" s="11"/>
    </row>
    <row r="10170" spans="27:48">
      <c r="AA10170" s="4"/>
      <c r="AV10170" s="11"/>
    </row>
    <row r="10171" spans="27:48">
      <c r="AA10171" s="4"/>
      <c r="AV10171" s="11"/>
    </row>
    <row r="10172" spans="27:48">
      <c r="AA10172" s="4"/>
      <c r="AV10172" s="11"/>
    </row>
    <row r="10173" spans="27:48">
      <c r="AA10173" s="4"/>
      <c r="AV10173" s="11"/>
    </row>
    <row r="10174" spans="27:48">
      <c r="AA10174" s="4"/>
      <c r="AV10174" s="11"/>
    </row>
    <row r="10175" spans="27:48">
      <c r="AA10175" s="4"/>
      <c r="AV10175" s="11"/>
    </row>
    <row r="10176" spans="27:48">
      <c r="AA10176" s="4"/>
      <c r="AV10176" s="11"/>
    </row>
    <row r="10177" spans="27:48">
      <c r="AA10177" s="4"/>
      <c r="AV10177" s="11"/>
    </row>
    <row r="10178" spans="27:48">
      <c r="AA10178" s="4"/>
      <c r="AV10178" s="11"/>
    </row>
    <row r="10179" spans="27:48">
      <c r="AA10179" s="4"/>
      <c r="AV10179" s="11"/>
    </row>
    <row r="10180" spans="27:48">
      <c r="AA10180" s="4"/>
      <c r="AV10180" s="11"/>
    </row>
    <row r="10181" spans="27:48">
      <c r="AA10181" s="4"/>
      <c r="AV10181" s="11"/>
    </row>
    <row r="10182" spans="27:48">
      <c r="AA10182" s="4"/>
      <c r="AV10182" s="11"/>
    </row>
    <row r="10183" spans="27:48">
      <c r="AA10183" s="4"/>
      <c r="AV10183" s="11"/>
    </row>
    <row r="10184" spans="27:48">
      <c r="AA10184" s="4"/>
      <c r="AV10184" s="11"/>
    </row>
    <row r="10185" spans="27:48">
      <c r="AA10185" s="4"/>
      <c r="AV10185" s="11"/>
    </row>
    <row r="10186" spans="27:48">
      <c r="AA10186" s="4"/>
      <c r="AV10186" s="11"/>
    </row>
    <row r="10187" spans="27:48">
      <c r="AA10187" s="4"/>
      <c r="AV10187" s="11"/>
    </row>
    <row r="10188" spans="27:48">
      <c r="AA10188" s="4"/>
      <c r="AV10188" s="11"/>
    </row>
    <row r="10189" spans="27:48">
      <c r="AA10189" s="4"/>
      <c r="AV10189" s="11"/>
    </row>
    <row r="10190" spans="27:48">
      <c r="AA10190" s="4"/>
      <c r="AV10190" s="11"/>
    </row>
    <row r="10191" spans="27:48">
      <c r="AA10191" s="4"/>
      <c r="AV10191" s="11"/>
    </row>
    <row r="10192" spans="27:48">
      <c r="AA10192" s="4"/>
      <c r="AV10192" s="11"/>
    </row>
    <row r="10193" spans="27:48">
      <c r="AA10193" s="4"/>
      <c r="AV10193" s="11"/>
    </row>
    <row r="10194" spans="27:48">
      <c r="AA10194" s="4"/>
      <c r="AV10194" s="11"/>
    </row>
    <row r="10195" spans="27:48">
      <c r="AA10195" s="4"/>
      <c r="AV10195" s="11"/>
    </row>
    <row r="10196" spans="27:48">
      <c r="AA10196" s="4"/>
      <c r="AV10196" s="11"/>
    </row>
    <row r="10197" spans="27:48">
      <c r="AA10197" s="4"/>
      <c r="AV10197" s="11"/>
    </row>
    <row r="10198" spans="27:48">
      <c r="AA10198" s="4"/>
      <c r="AV10198" s="11"/>
    </row>
    <row r="10199" spans="27:48">
      <c r="AA10199" s="4"/>
      <c r="AV10199" s="11"/>
    </row>
    <row r="10200" spans="27:48">
      <c r="AA10200" s="4"/>
      <c r="AV10200" s="11"/>
    </row>
    <row r="10201" spans="27:48">
      <c r="AA10201" s="4"/>
      <c r="AV10201" s="11"/>
    </row>
    <row r="10202" spans="27:48">
      <c r="AA10202" s="4"/>
      <c r="AV10202" s="11"/>
    </row>
    <row r="10203" spans="27:48">
      <c r="AA10203" s="4"/>
      <c r="AV10203" s="11"/>
    </row>
    <row r="10204" spans="27:48">
      <c r="AA10204" s="4"/>
      <c r="AV10204" s="11"/>
    </row>
    <row r="10205" spans="27:48">
      <c r="AA10205" s="4"/>
      <c r="AV10205" s="11"/>
    </row>
    <row r="10206" spans="27:48">
      <c r="AA10206" s="4"/>
      <c r="AV10206" s="11"/>
    </row>
    <row r="10207" spans="27:48">
      <c r="AA10207" s="4"/>
      <c r="AV10207" s="11"/>
    </row>
    <row r="10208" spans="27:48">
      <c r="AA10208" s="4"/>
      <c r="AV10208" s="11"/>
    </row>
    <row r="10209" spans="27:48">
      <c r="AA10209" s="4"/>
      <c r="AV10209" s="11"/>
    </row>
    <row r="10210" spans="27:48">
      <c r="AA10210" s="4"/>
      <c r="AV10210" s="11"/>
    </row>
    <row r="10211" spans="27:48">
      <c r="AA10211" s="4"/>
      <c r="AV10211" s="11"/>
    </row>
    <row r="10212" spans="27:48">
      <c r="AA10212" s="4"/>
      <c r="AV10212" s="11"/>
    </row>
    <row r="10213" spans="27:48">
      <c r="AA10213" s="4"/>
      <c r="AV10213" s="11"/>
    </row>
    <row r="10214" spans="27:48">
      <c r="AA10214" s="4"/>
      <c r="AV10214" s="11"/>
    </row>
    <row r="10215" spans="27:48">
      <c r="AA10215" s="4"/>
      <c r="AV10215" s="11"/>
    </row>
    <row r="10216" spans="27:48">
      <c r="AA10216" s="4"/>
      <c r="AV10216" s="11"/>
    </row>
    <row r="10217" spans="27:48">
      <c r="AA10217" s="4"/>
      <c r="AV10217" s="11"/>
    </row>
    <row r="10218" spans="27:48">
      <c r="AA10218" s="4"/>
      <c r="AV10218" s="11"/>
    </row>
    <row r="10219" spans="27:48">
      <c r="AA10219" s="4"/>
      <c r="AV10219" s="11"/>
    </row>
    <row r="10220" spans="27:48">
      <c r="AV10220" s="11"/>
    </row>
    <row r="10221" spans="27:48">
      <c r="AV10221" s="11"/>
    </row>
    <row r="10222" spans="27:48">
      <c r="AV10222" s="11"/>
    </row>
    <row r="10223" spans="27:48">
      <c r="AV10223" s="11"/>
    </row>
    <row r="10224" spans="27:48">
      <c r="AV10224" s="11"/>
    </row>
    <row r="10225" spans="48:48">
      <c r="AV10225" s="11"/>
    </row>
    <row r="10226" spans="48:48">
      <c r="AV10226" s="11"/>
    </row>
    <row r="10227" spans="48:48">
      <c r="AV10227" s="11"/>
    </row>
    <row r="10228" spans="48:48">
      <c r="AV10228" s="11"/>
    </row>
    <row r="10229" spans="48:48">
      <c r="AV10229" s="11"/>
    </row>
    <row r="10230" spans="48:48">
      <c r="AV10230" s="11"/>
    </row>
    <row r="10231" spans="48:48">
      <c r="AV10231" s="11"/>
    </row>
    <row r="10232" spans="48:48">
      <c r="AV10232" s="11"/>
    </row>
    <row r="10233" spans="48:48">
      <c r="AV10233" s="11"/>
    </row>
    <row r="10234" spans="48:48">
      <c r="AV10234" s="11"/>
    </row>
    <row r="10235" spans="48:48">
      <c r="AV10235" s="11"/>
    </row>
    <row r="10236" spans="48:48">
      <c r="AV10236" s="11"/>
    </row>
    <row r="10237" spans="48:48">
      <c r="AV10237" s="11"/>
    </row>
    <row r="10238" spans="48:48">
      <c r="AV10238" s="11"/>
    </row>
    <row r="10239" spans="48:48">
      <c r="AV10239" s="11"/>
    </row>
    <row r="10240" spans="48:48">
      <c r="AV10240" s="11"/>
    </row>
    <row r="10241" spans="48:48">
      <c r="AV10241" s="11"/>
    </row>
    <row r="10242" spans="48:48">
      <c r="AV10242" s="11"/>
    </row>
    <row r="10243" spans="48:48">
      <c r="AV10243" s="11"/>
    </row>
    <row r="10244" spans="48:48">
      <c r="AV10244" s="11"/>
    </row>
    <row r="10245" spans="48:48">
      <c r="AV10245" s="11"/>
    </row>
    <row r="10246" spans="48:48">
      <c r="AV10246" s="11"/>
    </row>
    <row r="10247" spans="48:48">
      <c r="AV10247" s="11"/>
    </row>
    <row r="10248" spans="48:48">
      <c r="AV10248" s="11"/>
    </row>
    <row r="10249" spans="48:48">
      <c r="AV10249" s="11"/>
    </row>
    <row r="10250" spans="48:48">
      <c r="AV10250" s="11"/>
    </row>
    <row r="10251" spans="48:48">
      <c r="AV10251" s="11"/>
    </row>
    <row r="10252" spans="48:48">
      <c r="AV10252" s="11"/>
    </row>
    <row r="10253" spans="48:48">
      <c r="AV10253" s="11"/>
    </row>
    <row r="10254" spans="48:48">
      <c r="AV10254" s="11"/>
    </row>
    <row r="10255" spans="48:48">
      <c r="AV10255" s="11"/>
    </row>
    <row r="10256" spans="48:48">
      <c r="AV10256" s="11"/>
    </row>
    <row r="10257" spans="27:48">
      <c r="AV10257" s="11"/>
    </row>
    <row r="10258" spans="27:48">
      <c r="AV10258" s="11"/>
    </row>
    <row r="10259" spans="27:48">
      <c r="AV10259" s="11"/>
    </row>
    <row r="10260" spans="27:48">
      <c r="AV10260" s="11"/>
    </row>
    <row r="10261" spans="27:48">
      <c r="AV10261" s="11"/>
    </row>
    <row r="10262" spans="27:48">
      <c r="AV10262" s="11"/>
    </row>
    <row r="10263" spans="27:48">
      <c r="AV10263" s="11"/>
    </row>
    <row r="10264" spans="27:48">
      <c r="AV10264" s="11"/>
    </row>
    <row r="10265" spans="27:48">
      <c r="AV10265" s="11"/>
    </row>
    <row r="10266" spans="27:48">
      <c r="AV10266" s="11"/>
    </row>
    <row r="10267" spans="27:48">
      <c r="AV10267" s="11"/>
    </row>
    <row r="10268" spans="27:48">
      <c r="AV10268" s="11"/>
    </row>
    <row r="10269" spans="27:48">
      <c r="AV10269" s="11"/>
    </row>
    <row r="10270" spans="27:48">
      <c r="AV10270" s="11"/>
    </row>
    <row r="10271" spans="27:48">
      <c r="AV10271" s="11"/>
    </row>
    <row r="10272" spans="27:48">
      <c r="AA10272" s="4"/>
      <c r="AV10272" s="11"/>
    </row>
    <row r="10273" spans="27:48">
      <c r="AA10273" s="4"/>
      <c r="AV10273" s="11"/>
    </row>
    <row r="10274" spans="27:48">
      <c r="AA10274" s="4"/>
      <c r="AV10274" s="11"/>
    </row>
    <row r="10275" spans="27:48">
      <c r="AA10275" s="4"/>
      <c r="AV10275" s="11"/>
    </row>
    <row r="10276" spans="27:48">
      <c r="AA10276" s="4"/>
      <c r="AV10276" s="11"/>
    </row>
    <row r="10277" spans="27:48">
      <c r="AA10277" s="4"/>
      <c r="AV10277" s="11"/>
    </row>
    <row r="10278" spans="27:48">
      <c r="AA10278" s="4"/>
      <c r="AV10278" s="11"/>
    </row>
    <row r="10279" spans="27:48">
      <c r="AA10279" s="4"/>
      <c r="AV10279" s="11"/>
    </row>
    <row r="10280" spans="27:48">
      <c r="AA10280" s="4"/>
      <c r="AV10280" s="11"/>
    </row>
    <row r="10281" spans="27:48">
      <c r="AA10281" s="4"/>
      <c r="AV10281" s="11"/>
    </row>
    <row r="10282" spans="27:48">
      <c r="AA10282" s="4"/>
      <c r="AV10282" s="11"/>
    </row>
    <row r="10283" spans="27:48">
      <c r="AA10283" s="4"/>
      <c r="AV10283" s="11"/>
    </row>
    <row r="10284" spans="27:48">
      <c r="AV10284" s="11"/>
    </row>
    <row r="10285" spans="27:48">
      <c r="AV10285" s="11"/>
    </row>
    <row r="10286" spans="27:48">
      <c r="AV10286" s="11"/>
    </row>
    <row r="10287" spans="27:48">
      <c r="AV10287" s="11"/>
    </row>
    <row r="10288" spans="27:48">
      <c r="AV10288" s="11"/>
    </row>
    <row r="10289" spans="48:48">
      <c r="AV10289" s="11"/>
    </row>
    <row r="10290" spans="48:48">
      <c r="AV10290" s="11"/>
    </row>
    <row r="10291" spans="48:48">
      <c r="AV10291" s="11"/>
    </row>
    <row r="10292" spans="48:48">
      <c r="AV10292" s="11"/>
    </row>
    <row r="10293" spans="48:48">
      <c r="AV10293" s="11"/>
    </row>
    <row r="10294" spans="48:48">
      <c r="AV10294" s="11"/>
    </row>
    <row r="10295" spans="48:48">
      <c r="AV10295" s="11"/>
    </row>
    <row r="10296" spans="48:48">
      <c r="AV10296" s="11"/>
    </row>
    <row r="10297" spans="48:48">
      <c r="AV10297" s="11"/>
    </row>
    <row r="10298" spans="48:48">
      <c r="AV10298" s="11"/>
    </row>
    <row r="10299" spans="48:48">
      <c r="AV10299" s="11"/>
    </row>
    <row r="10300" spans="48:48">
      <c r="AV10300" s="11"/>
    </row>
    <row r="10301" spans="48:48">
      <c r="AV10301" s="11"/>
    </row>
    <row r="10302" spans="48:48">
      <c r="AV10302" s="11"/>
    </row>
    <row r="10303" spans="48:48">
      <c r="AV10303" s="11"/>
    </row>
    <row r="10304" spans="48:48">
      <c r="AV10304" s="11"/>
    </row>
    <row r="10305" spans="48:48">
      <c r="AV10305" s="11"/>
    </row>
    <row r="10306" spans="48:48">
      <c r="AV10306" s="11"/>
    </row>
    <row r="10307" spans="48:48">
      <c r="AV10307" s="11"/>
    </row>
    <row r="10308" spans="48:48">
      <c r="AV10308" s="11"/>
    </row>
    <row r="10309" spans="48:48">
      <c r="AV10309" s="11"/>
    </row>
    <row r="10310" spans="48:48">
      <c r="AV10310" s="11"/>
    </row>
    <row r="10311" spans="48:48">
      <c r="AV10311" s="11"/>
    </row>
    <row r="10312" spans="48:48">
      <c r="AV10312" s="11"/>
    </row>
    <row r="10313" spans="48:48">
      <c r="AV10313" s="11"/>
    </row>
    <row r="10314" spans="48:48">
      <c r="AV10314" s="11"/>
    </row>
    <row r="10315" spans="48:48">
      <c r="AV10315" s="11"/>
    </row>
    <row r="10316" spans="48:48">
      <c r="AV10316" s="11"/>
    </row>
    <row r="10317" spans="48:48">
      <c r="AV10317" s="11"/>
    </row>
    <row r="10318" spans="48:48">
      <c r="AV10318" s="11"/>
    </row>
    <row r="10319" spans="48:48">
      <c r="AV10319" s="11"/>
    </row>
    <row r="10320" spans="48:48">
      <c r="AV10320" s="11"/>
    </row>
    <row r="10321" spans="48:48">
      <c r="AV10321" s="11"/>
    </row>
    <row r="10322" spans="48:48">
      <c r="AV10322" s="11"/>
    </row>
    <row r="10323" spans="48:48">
      <c r="AV10323" s="11"/>
    </row>
    <row r="10324" spans="48:48">
      <c r="AV10324" s="11"/>
    </row>
    <row r="10325" spans="48:48">
      <c r="AV10325" s="11"/>
    </row>
    <row r="10326" spans="48:48">
      <c r="AV10326" s="11"/>
    </row>
    <row r="10327" spans="48:48">
      <c r="AV10327" s="11"/>
    </row>
    <row r="10328" spans="48:48">
      <c r="AV10328" s="11"/>
    </row>
    <row r="10329" spans="48:48">
      <c r="AV10329" s="11"/>
    </row>
    <row r="10330" spans="48:48">
      <c r="AV10330" s="11"/>
    </row>
    <row r="10331" spans="48:48">
      <c r="AV10331" s="11"/>
    </row>
    <row r="10332" spans="48:48">
      <c r="AV10332" s="11"/>
    </row>
    <row r="10333" spans="48:48">
      <c r="AV10333" s="11"/>
    </row>
    <row r="10334" spans="48:48">
      <c r="AV10334" s="11"/>
    </row>
    <row r="10335" spans="48:48">
      <c r="AV10335" s="11"/>
    </row>
    <row r="10336" spans="48:48">
      <c r="AV10336" s="11"/>
    </row>
    <row r="10337" spans="48:56">
      <c r="AV10337" s="11"/>
    </row>
    <row r="10338" spans="48:56">
      <c r="AV10338" s="11"/>
    </row>
    <row r="10339" spans="48:56">
      <c r="AV10339" s="11"/>
    </row>
    <row r="10340" spans="48:56">
      <c r="AV10340" s="11"/>
    </row>
    <row r="10341" spans="48:56">
      <c r="AV10341" s="11"/>
    </row>
    <row r="10342" spans="48:56">
      <c r="AV10342" s="11"/>
    </row>
    <row r="10343" spans="48:56">
      <c r="AV10343" s="11"/>
    </row>
    <row r="10344" spans="48:56">
      <c r="AV10344" s="11"/>
      <c r="BD10344" s="4"/>
    </row>
    <row r="10345" spans="48:56">
      <c r="AV10345" s="11"/>
    </row>
    <row r="10346" spans="48:56">
      <c r="AV10346" s="11"/>
    </row>
    <row r="10347" spans="48:56">
      <c r="AV10347" s="11"/>
    </row>
    <row r="10348" spans="48:56">
      <c r="AV10348" s="11"/>
    </row>
    <row r="10349" spans="48:56">
      <c r="AV10349" s="11"/>
    </row>
    <row r="10350" spans="48:56">
      <c r="AV10350" s="11"/>
    </row>
    <row r="10351" spans="48:56">
      <c r="AV10351" s="11"/>
    </row>
    <row r="10352" spans="48:56">
      <c r="AV10352" s="11"/>
    </row>
    <row r="10353" spans="48:48">
      <c r="AV10353" s="11"/>
    </row>
    <row r="10354" spans="48:48">
      <c r="AV10354" s="11"/>
    </row>
    <row r="10355" spans="48:48">
      <c r="AV10355" s="11"/>
    </row>
    <row r="10356" spans="48:48">
      <c r="AV10356" s="11"/>
    </row>
    <row r="10357" spans="48:48">
      <c r="AV10357" s="11"/>
    </row>
    <row r="10358" spans="48:48">
      <c r="AV10358" s="11"/>
    </row>
    <row r="10359" spans="48:48">
      <c r="AV10359" s="11"/>
    </row>
    <row r="10360" spans="48:48">
      <c r="AV10360" s="11"/>
    </row>
    <row r="10361" spans="48:48">
      <c r="AV10361" s="11"/>
    </row>
    <row r="10362" spans="48:48">
      <c r="AV10362" s="11"/>
    </row>
    <row r="10363" spans="48:48">
      <c r="AV10363" s="11"/>
    </row>
    <row r="10364" spans="48:48">
      <c r="AV10364" s="11"/>
    </row>
    <row r="10365" spans="48:48">
      <c r="AV10365" s="11"/>
    </row>
    <row r="10366" spans="48:48">
      <c r="AV10366" s="11"/>
    </row>
    <row r="10367" spans="48:48">
      <c r="AV10367" s="11"/>
    </row>
    <row r="10368" spans="48:48">
      <c r="AV10368" s="11"/>
    </row>
    <row r="10369" spans="48:48">
      <c r="AV10369" s="11"/>
    </row>
    <row r="10370" spans="48:48">
      <c r="AV10370" s="11"/>
    </row>
    <row r="10371" spans="48:48">
      <c r="AV10371" s="11"/>
    </row>
    <row r="10372" spans="48:48">
      <c r="AV10372" s="11"/>
    </row>
    <row r="10373" spans="48:48">
      <c r="AV10373" s="11"/>
    </row>
    <row r="10374" spans="48:48">
      <c r="AV10374" s="11"/>
    </row>
    <row r="10375" spans="48:48">
      <c r="AV10375" s="11"/>
    </row>
    <row r="10376" spans="48:48">
      <c r="AV10376" s="11"/>
    </row>
    <row r="10377" spans="48:48">
      <c r="AV10377" s="11"/>
    </row>
    <row r="10378" spans="48:48">
      <c r="AV10378" s="11"/>
    </row>
    <row r="10379" spans="48:48">
      <c r="AV10379" s="11"/>
    </row>
    <row r="10380" spans="48:48">
      <c r="AV10380" s="11"/>
    </row>
    <row r="10381" spans="48:48">
      <c r="AV10381" s="11"/>
    </row>
    <row r="10382" spans="48:48">
      <c r="AV10382" s="11"/>
    </row>
    <row r="10383" spans="48:48">
      <c r="AV10383" s="11"/>
    </row>
    <row r="10384" spans="48:48">
      <c r="AV10384" s="11"/>
    </row>
    <row r="10385" spans="48:48">
      <c r="AV10385" s="11"/>
    </row>
    <row r="10386" spans="48:48">
      <c r="AV10386" s="11"/>
    </row>
    <row r="10387" spans="48:48">
      <c r="AV10387" s="11"/>
    </row>
    <row r="10388" spans="48:48">
      <c r="AV10388" s="11"/>
    </row>
    <row r="10389" spans="48:48">
      <c r="AV10389" s="11"/>
    </row>
    <row r="10390" spans="48:48">
      <c r="AV10390" s="11"/>
    </row>
    <row r="10391" spans="48:48">
      <c r="AV10391" s="11"/>
    </row>
    <row r="10392" spans="48:48">
      <c r="AV10392" s="11"/>
    </row>
    <row r="10393" spans="48:48">
      <c r="AV10393" s="11"/>
    </row>
    <row r="10394" spans="48:48">
      <c r="AV10394" s="11"/>
    </row>
    <row r="10395" spans="48:48">
      <c r="AV10395" s="11"/>
    </row>
    <row r="10396" spans="48:48">
      <c r="AV10396" s="11"/>
    </row>
    <row r="10397" spans="48:48">
      <c r="AV10397" s="11"/>
    </row>
    <row r="10398" spans="48:48">
      <c r="AV10398" s="11"/>
    </row>
    <row r="10399" spans="48:48">
      <c r="AV10399" s="11"/>
    </row>
    <row r="10400" spans="48:48">
      <c r="AV10400" s="11"/>
    </row>
    <row r="10401" spans="48:48">
      <c r="AV10401" s="11"/>
    </row>
    <row r="10402" spans="48:48">
      <c r="AV10402" s="11"/>
    </row>
    <row r="10403" spans="48:48">
      <c r="AV10403" s="11"/>
    </row>
    <row r="10404" spans="48:48">
      <c r="AV10404" s="11"/>
    </row>
    <row r="10405" spans="48:48">
      <c r="AV10405" s="11"/>
    </row>
    <row r="10406" spans="48:48">
      <c r="AV10406" s="11"/>
    </row>
    <row r="10407" spans="48:48">
      <c r="AV10407" s="11"/>
    </row>
    <row r="10408" spans="48:48">
      <c r="AV10408" s="11"/>
    </row>
    <row r="10409" spans="48:48">
      <c r="AV10409" s="11"/>
    </row>
    <row r="10410" spans="48:48">
      <c r="AV10410" s="11"/>
    </row>
    <row r="10411" spans="48:48">
      <c r="AV10411" s="11"/>
    </row>
    <row r="10412" spans="48:48">
      <c r="AV10412" s="11"/>
    </row>
    <row r="10413" spans="48:48">
      <c r="AV10413" s="11"/>
    </row>
    <row r="10414" spans="48:48">
      <c r="AV10414" s="11"/>
    </row>
    <row r="10415" spans="48:48">
      <c r="AV10415" s="11"/>
    </row>
    <row r="10416" spans="48:48">
      <c r="AV10416" s="11"/>
    </row>
    <row r="10417" spans="48:48">
      <c r="AV10417" s="11"/>
    </row>
    <row r="10418" spans="48:48">
      <c r="AV10418" s="11"/>
    </row>
    <row r="10419" spans="48:48">
      <c r="AV10419" s="11"/>
    </row>
    <row r="10420" spans="48:48">
      <c r="AV10420" s="11"/>
    </row>
    <row r="10421" spans="48:48">
      <c r="AV10421" s="11"/>
    </row>
    <row r="10422" spans="48:48">
      <c r="AV10422" s="11"/>
    </row>
    <row r="10423" spans="48:48">
      <c r="AV10423" s="11"/>
    </row>
    <row r="10424" spans="48:48">
      <c r="AV10424" s="11"/>
    </row>
    <row r="10425" spans="48:48">
      <c r="AV10425" s="11"/>
    </row>
    <row r="10426" spans="48:48">
      <c r="AV10426" s="11"/>
    </row>
    <row r="10427" spans="48:48">
      <c r="AV10427" s="11"/>
    </row>
    <row r="10428" spans="48:48">
      <c r="AV10428" s="11"/>
    </row>
    <row r="10429" spans="48:48">
      <c r="AV10429" s="11"/>
    </row>
    <row r="10430" spans="48:48">
      <c r="AV10430" s="11"/>
    </row>
    <row r="10431" spans="48:48">
      <c r="AV10431" s="11"/>
    </row>
    <row r="10432" spans="48:48">
      <c r="AV10432" s="11"/>
    </row>
    <row r="10433" spans="48:48">
      <c r="AV10433" s="11"/>
    </row>
    <row r="10434" spans="48:48">
      <c r="AV10434" s="11"/>
    </row>
    <row r="10435" spans="48:48">
      <c r="AV10435" s="11"/>
    </row>
    <row r="10436" spans="48:48">
      <c r="AV10436" s="11"/>
    </row>
    <row r="10437" spans="48:48">
      <c r="AV10437" s="11"/>
    </row>
    <row r="10438" spans="48:48">
      <c r="AV10438" s="11"/>
    </row>
    <row r="10439" spans="48:48">
      <c r="AV10439" s="11"/>
    </row>
    <row r="10440" spans="48:48">
      <c r="AV10440" s="11"/>
    </row>
    <row r="10441" spans="48:48">
      <c r="AV10441" s="11"/>
    </row>
    <row r="10442" spans="48:48">
      <c r="AV10442" s="11"/>
    </row>
    <row r="10443" spans="48:48">
      <c r="AV10443" s="11"/>
    </row>
    <row r="10444" spans="48:48">
      <c r="AV10444" s="11"/>
    </row>
    <row r="10445" spans="48:48">
      <c r="AV10445" s="11"/>
    </row>
    <row r="10446" spans="48:48">
      <c r="AV10446" s="11"/>
    </row>
    <row r="10447" spans="48:48">
      <c r="AV10447" s="11"/>
    </row>
    <row r="10448" spans="48:48">
      <c r="AV10448" s="11"/>
    </row>
    <row r="10449" spans="27:56">
      <c r="AV10449" s="11"/>
    </row>
    <row r="10450" spans="27:56">
      <c r="AV10450" s="11"/>
    </row>
    <row r="10451" spans="27:56">
      <c r="AV10451" s="11"/>
    </row>
    <row r="10452" spans="27:56">
      <c r="AV10452" s="11"/>
    </row>
    <row r="10453" spans="27:56">
      <c r="AV10453" s="11"/>
    </row>
    <row r="10454" spans="27:56">
      <c r="AA10454" s="4"/>
      <c r="AV10454" s="11"/>
    </row>
    <row r="10455" spans="27:56">
      <c r="AA10455" s="4"/>
      <c r="AV10455" s="11"/>
    </row>
    <row r="10456" spans="27:56">
      <c r="AA10456" s="4"/>
      <c r="AV10456" s="11"/>
    </row>
    <row r="10457" spans="27:56">
      <c r="AA10457" s="4"/>
      <c r="AV10457" s="11"/>
    </row>
    <row r="10458" spans="27:56">
      <c r="AA10458" s="4"/>
      <c r="AV10458" s="11"/>
    </row>
    <row r="10459" spans="27:56">
      <c r="AA10459" s="4"/>
      <c r="AV10459" s="11"/>
    </row>
    <row r="10460" spans="27:56">
      <c r="AA10460" s="4"/>
      <c r="AV10460" s="11"/>
      <c r="BD10460" s="4"/>
    </row>
    <row r="10461" spans="27:56">
      <c r="AA10461" s="4"/>
      <c r="AV10461" s="11"/>
    </row>
    <row r="10462" spans="27:56">
      <c r="AA10462" s="4"/>
      <c r="AV10462" s="11"/>
    </row>
    <row r="10463" spans="27:56">
      <c r="AA10463" s="4"/>
      <c r="AV10463" s="11"/>
    </row>
    <row r="10464" spans="27:56">
      <c r="AA10464" s="4"/>
      <c r="AV10464" s="11"/>
    </row>
    <row r="10465" spans="27:48">
      <c r="AA10465" s="4"/>
      <c r="AV10465" s="11"/>
    </row>
    <row r="10466" spans="27:48">
      <c r="AA10466" s="4"/>
      <c r="AV10466" s="11"/>
    </row>
    <row r="10467" spans="27:48">
      <c r="AA10467" s="4"/>
      <c r="AV10467" s="11"/>
    </row>
    <row r="10468" spans="27:48">
      <c r="AA10468" s="4"/>
      <c r="AV10468" s="11"/>
    </row>
    <row r="10469" spans="27:48">
      <c r="AA10469" s="4"/>
      <c r="AV10469" s="11"/>
    </row>
    <row r="10470" spans="27:48">
      <c r="AA10470" s="4"/>
      <c r="AV10470" s="11"/>
    </row>
    <row r="10471" spans="27:48">
      <c r="AA10471" s="4"/>
      <c r="AV10471" s="11"/>
    </row>
    <row r="10472" spans="27:48">
      <c r="AA10472" s="4"/>
      <c r="AV10472" s="11"/>
    </row>
    <row r="10473" spans="27:48">
      <c r="AA10473" s="4"/>
      <c r="AV10473" s="11"/>
    </row>
    <row r="10474" spans="27:48">
      <c r="AA10474" s="4"/>
      <c r="AV10474" s="11"/>
    </row>
    <row r="10475" spans="27:48">
      <c r="AA10475" s="4"/>
      <c r="AV10475" s="11"/>
    </row>
    <row r="10476" spans="27:48">
      <c r="AA10476" s="4"/>
      <c r="AV10476" s="11"/>
    </row>
    <row r="10477" spans="27:48">
      <c r="AA10477" s="4"/>
      <c r="AV10477" s="11"/>
    </row>
    <row r="10478" spans="27:48">
      <c r="AA10478" s="4"/>
      <c r="AV10478" s="11"/>
    </row>
    <row r="10479" spans="27:48">
      <c r="AA10479" s="4"/>
      <c r="AV10479" s="11"/>
    </row>
    <row r="10480" spans="27:48">
      <c r="AA10480" s="4"/>
      <c r="AV10480" s="11"/>
    </row>
    <row r="10481" spans="27:56">
      <c r="AA10481" s="4"/>
      <c r="AV10481" s="11"/>
    </row>
    <row r="10482" spans="27:56">
      <c r="AA10482" s="4"/>
      <c r="AV10482" s="11"/>
    </row>
    <row r="10483" spans="27:56">
      <c r="AV10483" s="11"/>
    </row>
    <row r="10484" spans="27:56">
      <c r="AV10484" s="11"/>
      <c r="BD10484" s="4"/>
    </row>
    <row r="10485" spans="27:56">
      <c r="AV10485" s="11"/>
    </row>
    <row r="10486" spans="27:56">
      <c r="AV10486" s="11"/>
    </row>
    <row r="10487" spans="27:56">
      <c r="AV10487" s="11"/>
    </row>
    <row r="10488" spans="27:56">
      <c r="AV10488" s="11"/>
    </row>
    <row r="10489" spans="27:56">
      <c r="AV10489" s="11"/>
    </row>
    <row r="10490" spans="27:56">
      <c r="AV10490" s="11"/>
    </row>
    <row r="10491" spans="27:56">
      <c r="AV10491" s="11"/>
    </row>
    <row r="10492" spans="27:56">
      <c r="AV10492" s="11"/>
    </row>
    <row r="10493" spans="27:56">
      <c r="AV10493" s="11"/>
    </row>
    <row r="10494" spans="27:56">
      <c r="AV10494" s="11"/>
    </row>
    <row r="10495" spans="27:56">
      <c r="AV10495" s="11"/>
    </row>
    <row r="10496" spans="27:56">
      <c r="AV10496" s="11"/>
    </row>
    <row r="10497" spans="48:48">
      <c r="AV10497" s="11"/>
    </row>
    <row r="10498" spans="48:48">
      <c r="AV10498" s="11"/>
    </row>
    <row r="10499" spans="48:48">
      <c r="AV10499" s="11"/>
    </row>
    <row r="10500" spans="48:48">
      <c r="AV10500" s="11"/>
    </row>
    <row r="10501" spans="48:48">
      <c r="AV10501" s="11"/>
    </row>
    <row r="10502" spans="48:48">
      <c r="AV10502" s="11"/>
    </row>
    <row r="10503" spans="48:48">
      <c r="AV10503" s="11"/>
    </row>
    <row r="10504" spans="48:48">
      <c r="AV10504" s="11"/>
    </row>
    <row r="10505" spans="48:48">
      <c r="AV10505" s="11"/>
    </row>
    <row r="10506" spans="48:48">
      <c r="AV10506" s="11"/>
    </row>
    <row r="10507" spans="48:48">
      <c r="AV10507" s="11"/>
    </row>
    <row r="10508" spans="48:48">
      <c r="AV10508" s="11"/>
    </row>
    <row r="10509" spans="48:48">
      <c r="AV10509" s="11"/>
    </row>
    <row r="10510" spans="48:48">
      <c r="AV10510" s="11"/>
    </row>
    <row r="10511" spans="48:48">
      <c r="AV10511" s="11"/>
    </row>
    <row r="10512" spans="48:48">
      <c r="AV10512" s="11"/>
    </row>
    <row r="10513" spans="27:48">
      <c r="AV10513" s="11"/>
    </row>
    <row r="10514" spans="27:48">
      <c r="AV10514" s="11"/>
    </row>
    <row r="10515" spans="27:48">
      <c r="AV10515" s="11"/>
    </row>
    <row r="10516" spans="27:48">
      <c r="AV10516" s="11"/>
    </row>
    <row r="10517" spans="27:48">
      <c r="AV10517" s="11"/>
    </row>
    <row r="10518" spans="27:48">
      <c r="AA10518" s="4"/>
      <c r="AV10518" s="11"/>
    </row>
    <row r="10519" spans="27:48">
      <c r="AA10519" s="4"/>
      <c r="AV10519" s="11"/>
    </row>
    <row r="10520" spans="27:48">
      <c r="AA10520" s="4"/>
      <c r="AV10520" s="11"/>
    </row>
    <row r="10521" spans="27:48">
      <c r="AA10521" s="4"/>
      <c r="AV10521" s="11"/>
    </row>
    <row r="10522" spans="27:48">
      <c r="AA10522" s="4"/>
      <c r="AV10522" s="11"/>
    </row>
    <row r="10523" spans="27:48">
      <c r="AA10523" s="4"/>
      <c r="AV10523" s="11"/>
    </row>
    <row r="10524" spans="27:48">
      <c r="AA10524" s="4"/>
      <c r="AV10524" s="11"/>
    </row>
    <row r="10525" spans="27:48">
      <c r="AA10525" s="4"/>
      <c r="AV10525" s="11"/>
    </row>
    <row r="10526" spans="27:48">
      <c r="AA10526" s="4"/>
      <c r="AV10526" s="11"/>
    </row>
    <row r="10527" spans="27:48">
      <c r="AA10527" s="4"/>
      <c r="AV10527" s="11"/>
    </row>
    <row r="10528" spans="27:48">
      <c r="AA10528" s="4"/>
      <c r="AV10528" s="11"/>
    </row>
    <row r="10529" spans="27:48">
      <c r="AA10529" s="4"/>
      <c r="AV10529" s="11"/>
    </row>
    <row r="10530" spans="27:48">
      <c r="AA10530" s="4"/>
      <c r="AV10530" s="11"/>
    </row>
    <row r="10531" spans="27:48">
      <c r="AA10531" s="4"/>
      <c r="AV10531" s="11"/>
    </row>
    <row r="10532" spans="27:48">
      <c r="AA10532" s="4"/>
      <c r="AV10532" s="11"/>
    </row>
    <row r="10533" spans="27:48">
      <c r="AA10533" s="4"/>
      <c r="AV10533" s="11"/>
    </row>
    <row r="10534" spans="27:48">
      <c r="AA10534" s="4"/>
      <c r="AV10534" s="11"/>
    </row>
    <row r="10535" spans="27:48">
      <c r="AA10535" s="4"/>
      <c r="AV10535" s="11"/>
    </row>
    <row r="10536" spans="27:48">
      <c r="AA10536" s="4"/>
      <c r="AV10536" s="11"/>
    </row>
    <row r="10537" spans="27:48">
      <c r="AA10537" s="4"/>
      <c r="AV10537" s="11"/>
    </row>
    <row r="10538" spans="27:48">
      <c r="AA10538" s="4"/>
      <c r="AV10538" s="11"/>
    </row>
    <row r="10539" spans="27:48">
      <c r="AA10539" s="4"/>
      <c r="AV10539" s="11"/>
    </row>
    <row r="10540" spans="27:48">
      <c r="AA10540" s="4"/>
      <c r="AV10540" s="11"/>
    </row>
    <row r="10541" spans="27:48">
      <c r="AA10541" s="4"/>
      <c r="AV10541" s="11"/>
    </row>
    <row r="10542" spans="27:48">
      <c r="AA10542" s="4"/>
      <c r="AV10542" s="11"/>
    </row>
    <row r="10543" spans="27:48">
      <c r="AA10543" s="4"/>
      <c r="AV10543" s="11"/>
    </row>
    <row r="10544" spans="27:48">
      <c r="AA10544" s="4"/>
      <c r="AV10544" s="11"/>
    </row>
    <row r="10545" spans="27:48">
      <c r="AA10545" s="4"/>
      <c r="AV10545" s="11"/>
    </row>
    <row r="10546" spans="27:48">
      <c r="AA10546" s="4"/>
      <c r="AV10546" s="11"/>
    </row>
    <row r="10547" spans="27:48">
      <c r="AA10547" s="4"/>
      <c r="AV10547" s="11"/>
    </row>
    <row r="10548" spans="27:48">
      <c r="AA10548" s="4"/>
      <c r="AV10548" s="11"/>
    </row>
    <row r="10549" spans="27:48">
      <c r="AA10549" s="4"/>
      <c r="AV10549" s="11"/>
    </row>
    <row r="10550" spans="27:48">
      <c r="AA10550" s="4"/>
      <c r="AV10550" s="11"/>
    </row>
    <row r="10551" spans="27:48">
      <c r="AA10551" s="4"/>
      <c r="AV10551" s="11"/>
    </row>
    <row r="10552" spans="27:48">
      <c r="AA10552" s="4"/>
      <c r="AV10552" s="11"/>
    </row>
    <row r="10553" spans="27:48">
      <c r="AA10553" s="4"/>
      <c r="AV10553" s="11"/>
    </row>
    <row r="10554" spans="27:48">
      <c r="AA10554" s="4"/>
      <c r="AV10554" s="11"/>
    </row>
    <row r="10555" spans="27:48">
      <c r="AA10555" s="4"/>
      <c r="AV10555" s="11"/>
    </row>
    <row r="10556" spans="27:48">
      <c r="AA10556" s="4"/>
      <c r="AV10556" s="11"/>
    </row>
    <row r="10557" spans="27:48">
      <c r="AA10557" s="4"/>
      <c r="AV10557" s="11"/>
    </row>
    <row r="10558" spans="27:48">
      <c r="AA10558" s="4"/>
      <c r="AV10558" s="11"/>
    </row>
    <row r="10559" spans="27:48">
      <c r="AA10559" s="4"/>
      <c r="AV10559" s="11"/>
    </row>
    <row r="10560" spans="27:48">
      <c r="AA10560" s="4"/>
      <c r="AV10560" s="11"/>
    </row>
    <row r="10561" spans="27:48">
      <c r="AA10561" s="4"/>
      <c r="AV10561" s="11"/>
    </row>
    <row r="10562" spans="27:48">
      <c r="AA10562" s="4"/>
      <c r="AV10562" s="11"/>
    </row>
    <row r="10563" spans="27:48">
      <c r="AA10563" s="4"/>
      <c r="AV10563" s="11"/>
    </row>
    <row r="10564" spans="27:48">
      <c r="AA10564" s="4"/>
      <c r="AV10564" s="11"/>
    </row>
    <row r="10565" spans="27:48">
      <c r="AA10565" s="4"/>
      <c r="AV10565" s="11"/>
    </row>
    <row r="10566" spans="27:48">
      <c r="AA10566" s="4"/>
      <c r="AV10566" s="11"/>
    </row>
    <row r="10567" spans="27:48">
      <c r="AA10567" s="4"/>
      <c r="AV10567" s="11"/>
    </row>
    <row r="10568" spans="27:48">
      <c r="AA10568" s="4"/>
      <c r="AV10568" s="11"/>
    </row>
    <row r="10569" spans="27:48">
      <c r="AA10569" s="4"/>
      <c r="AV10569" s="11"/>
    </row>
    <row r="10570" spans="27:48">
      <c r="AA10570" s="4"/>
      <c r="AV10570" s="11"/>
    </row>
    <row r="10571" spans="27:48">
      <c r="AA10571" s="4"/>
      <c r="AV10571" s="11"/>
    </row>
    <row r="10572" spans="27:48">
      <c r="AA10572" s="4"/>
      <c r="AV10572" s="11"/>
    </row>
    <row r="10573" spans="27:48">
      <c r="AA10573" s="4"/>
      <c r="AV10573" s="11"/>
    </row>
    <row r="10574" spans="27:48">
      <c r="AA10574" s="4"/>
      <c r="AV10574" s="11"/>
    </row>
    <row r="10575" spans="27:48">
      <c r="AA10575" s="4"/>
      <c r="AV10575" s="11"/>
    </row>
    <row r="10576" spans="27:48">
      <c r="AA10576" s="4"/>
      <c r="AV10576" s="11"/>
    </row>
    <row r="10577" spans="27:48">
      <c r="AA10577" s="4"/>
      <c r="AV10577" s="11"/>
    </row>
    <row r="10578" spans="27:48">
      <c r="AA10578" s="4"/>
      <c r="AV10578" s="11"/>
    </row>
    <row r="10579" spans="27:48">
      <c r="AA10579" s="4"/>
      <c r="AV10579" s="11"/>
    </row>
    <row r="10580" spans="27:48">
      <c r="AA10580" s="4"/>
      <c r="AV10580" s="11"/>
    </row>
    <row r="10581" spans="27:48">
      <c r="AA10581" s="4"/>
      <c r="AV10581" s="11"/>
    </row>
    <row r="10582" spans="27:48">
      <c r="AA10582" s="4"/>
      <c r="AV10582" s="11"/>
    </row>
    <row r="10583" spans="27:48">
      <c r="AA10583" s="4"/>
      <c r="AV10583" s="11"/>
    </row>
    <row r="10584" spans="27:48">
      <c r="AA10584" s="4"/>
      <c r="AV10584" s="11"/>
    </row>
    <row r="10585" spans="27:48">
      <c r="AA10585" s="4"/>
      <c r="AV10585" s="11"/>
    </row>
    <row r="10586" spans="27:48">
      <c r="AA10586" s="4"/>
      <c r="AV10586" s="11"/>
    </row>
    <row r="10587" spans="27:48">
      <c r="AA10587" s="4"/>
      <c r="AV10587" s="11"/>
    </row>
    <row r="10588" spans="27:48">
      <c r="AA10588" s="4"/>
      <c r="AV10588" s="11"/>
    </row>
    <row r="10589" spans="27:48">
      <c r="AA10589" s="4"/>
      <c r="AV10589" s="11"/>
    </row>
    <row r="10590" spans="27:48">
      <c r="AA10590" s="4"/>
      <c r="AV10590" s="11"/>
    </row>
    <row r="10591" spans="27:48">
      <c r="AA10591" s="4"/>
      <c r="AV10591" s="11"/>
    </row>
    <row r="10592" spans="27:48">
      <c r="AA10592" s="4"/>
      <c r="AV10592" s="11"/>
    </row>
    <row r="10593" spans="27:48">
      <c r="AA10593" s="4"/>
      <c r="AV10593" s="11"/>
    </row>
    <row r="10594" spans="27:48">
      <c r="AA10594" s="4"/>
      <c r="AV10594" s="11"/>
    </row>
    <row r="10595" spans="27:48">
      <c r="AA10595" s="4"/>
      <c r="AV10595" s="11"/>
    </row>
    <row r="10596" spans="27:48">
      <c r="AA10596" s="4"/>
      <c r="AV10596" s="11"/>
    </row>
    <row r="10597" spans="27:48">
      <c r="AA10597" s="4"/>
      <c r="AV10597" s="11"/>
    </row>
    <row r="10598" spans="27:48">
      <c r="AA10598" s="4"/>
      <c r="AV10598" s="11"/>
    </row>
    <row r="10599" spans="27:48">
      <c r="AA10599" s="4"/>
      <c r="AV10599" s="11"/>
    </row>
    <row r="10600" spans="27:48">
      <c r="AA10600" s="4"/>
      <c r="AV10600" s="11"/>
    </row>
    <row r="10601" spans="27:48">
      <c r="AA10601" s="4"/>
      <c r="AV10601" s="11"/>
    </row>
    <row r="10602" spans="27:48">
      <c r="AA10602" s="4"/>
      <c r="AV10602" s="11"/>
    </row>
    <row r="10603" spans="27:48">
      <c r="AA10603" s="4"/>
      <c r="AV10603" s="11"/>
    </row>
    <row r="10604" spans="27:48">
      <c r="AA10604" s="4"/>
      <c r="AV10604" s="11"/>
    </row>
    <row r="10605" spans="27:48">
      <c r="AA10605" s="4"/>
      <c r="AV10605" s="11"/>
    </row>
    <row r="10606" spans="27:48">
      <c r="AA10606" s="4"/>
      <c r="AV10606" s="11"/>
    </row>
    <row r="10607" spans="27:48">
      <c r="AA10607" s="4"/>
      <c r="AV10607" s="11"/>
    </row>
    <row r="10608" spans="27:48">
      <c r="AA10608" s="4"/>
      <c r="AV10608" s="11"/>
    </row>
    <row r="10609" spans="27:48">
      <c r="AA10609" s="4"/>
      <c r="AV10609" s="11"/>
    </row>
    <row r="10610" spans="27:48">
      <c r="AA10610" s="4"/>
      <c r="AV10610" s="11"/>
    </row>
    <row r="10611" spans="27:48">
      <c r="AA10611" s="4"/>
      <c r="AV10611" s="11"/>
    </row>
    <row r="10612" spans="27:48">
      <c r="AA10612" s="4"/>
      <c r="AV10612" s="11"/>
    </row>
    <row r="10613" spans="27:48">
      <c r="AA10613" s="4"/>
      <c r="AV10613" s="11"/>
    </row>
    <row r="10614" spans="27:48">
      <c r="AA10614" s="4"/>
      <c r="AV10614" s="11"/>
    </row>
    <row r="10615" spans="27:48">
      <c r="AA10615" s="4"/>
      <c r="AV10615" s="11"/>
    </row>
    <row r="10616" spans="27:48">
      <c r="AA10616" s="4"/>
      <c r="AV10616" s="11"/>
    </row>
    <row r="10617" spans="27:48">
      <c r="AA10617" s="4"/>
      <c r="AV10617" s="11"/>
    </row>
    <row r="10618" spans="27:48">
      <c r="AA10618" s="4"/>
      <c r="AV10618" s="11"/>
    </row>
    <row r="10619" spans="27:48">
      <c r="AA10619" s="4"/>
      <c r="AV10619" s="11"/>
    </row>
    <row r="10620" spans="27:48">
      <c r="AA10620" s="4"/>
      <c r="AV10620" s="11"/>
    </row>
    <row r="10621" spans="27:48">
      <c r="AA10621" s="4"/>
      <c r="AV10621" s="11"/>
    </row>
    <row r="10622" spans="27:48">
      <c r="AA10622" s="4"/>
      <c r="AV10622" s="11"/>
    </row>
    <row r="10623" spans="27:48">
      <c r="AA10623" s="4"/>
      <c r="AV10623" s="11"/>
    </row>
    <row r="10624" spans="27:48">
      <c r="AA10624" s="4"/>
      <c r="AV10624" s="11"/>
    </row>
    <row r="10625" spans="27:48">
      <c r="AA10625" s="4"/>
      <c r="AV10625" s="11"/>
    </row>
    <row r="10626" spans="27:48">
      <c r="AA10626" s="4"/>
      <c r="AV10626" s="11"/>
    </row>
    <row r="10627" spans="27:48">
      <c r="AA10627" s="4"/>
      <c r="AV10627" s="11"/>
    </row>
    <row r="10628" spans="27:48">
      <c r="AA10628" s="4"/>
      <c r="AV10628" s="11"/>
    </row>
    <row r="10629" spans="27:48">
      <c r="AA10629" s="4"/>
      <c r="AV10629" s="11"/>
    </row>
    <row r="10630" spans="27:48">
      <c r="AA10630" s="4"/>
      <c r="AV10630" s="11"/>
    </row>
    <row r="10631" spans="27:48">
      <c r="AA10631" s="4"/>
      <c r="AV10631" s="11"/>
    </row>
    <row r="10632" spans="27:48">
      <c r="AA10632" s="4"/>
      <c r="AV10632" s="11"/>
    </row>
    <row r="10633" spans="27:48">
      <c r="AA10633" s="4"/>
      <c r="AV10633" s="11"/>
    </row>
    <row r="10634" spans="27:48">
      <c r="AA10634" s="4"/>
      <c r="AV10634" s="11"/>
    </row>
    <row r="10635" spans="27:48">
      <c r="AA10635" s="4"/>
      <c r="AV10635" s="11"/>
    </row>
    <row r="10636" spans="27:48">
      <c r="AA10636" s="4"/>
      <c r="AV10636" s="11"/>
    </row>
    <row r="10637" spans="27:48">
      <c r="AA10637" s="4"/>
      <c r="AV10637" s="11"/>
    </row>
    <row r="10638" spans="27:48">
      <c r="AA10638" s="4"/>
      <c r="AV10638" s="11"/>
    </row>
    <row r="10639" spans="27:48">
      <c r="AA10639" s="4"/>
      <c r="AV10639" s="11"/>
    </row>
    <row r="10640" spans="27:48">
      <c r="AA10640" s="4"/>
      <c r="AV10640" s="11"/>
    </row>
    <row r="10641" spans="27:48">
      <c r="AA10641" s="4"/>
      <c r="AV10641" s="11"/>
    </row>
    <row r="10642" spans="27:48">
      <c r="AA10642" s="4"/>
      <c r="AV10642" s="11"/>
    </row>
    <row r="10643" spans="27:48">
      <c r="AA10643" s="4"/>
      <c r="AV10643" s="11"/>
    </row>
    <row r="10644" spans="27:48">
      <c r="AA10644" s="4"/>
      <c r="AV10644" s="11"/>
    </row>
    <row r="10645" spans="27:48">
      <c r="AA10645" s="4"/>
      <c r="AV10645" s="11"/>
    </row>
    <row r="10646" spans="27:48">
      <c r="AA10646" s="4"/>
      <c r="AV10646" s="11"/>
    </row>
    <row r="10647" spans="27:48">
      <c r="AA10647" s="4"/>
      <c r="AV10647" s="11"/>
    </row>
    <row r="10648" spans="27:48">
      <c r="AA10648" s="4"/>
      <c r="AV10648" s="11"/>
    </row>
    <row r="10649" spans="27:48">
      <c r="AA10649" s="4"/>
      <c r="AV10649" s="11"/>
    </row>
    <row r="10650" spans="27:48">
      <c r="AA10650" s="4"/>
      <c r="AV10650" s="11"/>
    </row>
    <row r="10651" spans="27:48">
      <c r="AA10651" s="4"/>
      <c r="AV10651" s="11"/>
    </row>
    <row r="10652" spans="27:48">
      <c r="AA10652" s="4"/>
      <c r="AV10652" s="11"/>
    </row>
    <row r="10653" spans="27:48">
      <c r="AA10653" s="4"/>
      <c r="AV10653" s="11"/>
    </row>
    <row r="10654" spans="27:48">
      <c r="AA10654" s="4"/>
      <c r="AV10654" s="11"/>
    </row>
    <row r="10655" spans="27:48">
      <c r="AA10655" s="4"/>
      <c r="AV10655" s="11"/>
    </row>
    <row r="10656" spans="27:48">
      <c r="AA10656" s="4"/>
      <c r="AV10656" s="11"/>
    </row>
    <row r="10657" spans="27:48">
      <c r="AA10657" s="4"/>
      <c r="AV10657" s="11"/>
    </row>
    <row r="10658" spans="27:48">
      <c r="AA10658" s="4"/>
      <c r="AV10658" s="11"/>
    </row>
    <row r="10659" spans="27:48">
      <c r="AA10659" s="4"/>
      <c r="AV10659" s="11"/>
    </row>
    <row r="10660" spans="27:48">
      <c r="AA10660" s="4"/>
      <c r="AV10660" s="11"/>
    </row>
    <row r="10661" spans="27:48">
      <c r="AA10661" s="4"/>
      <c r="AV10661" s="11"/>
    </row>
    <row r="10662" spans="27:48">
      <c r="AA10662" s="4"/>
      <c r="AV10662" s="11"/>
    </row>
    <row r="10663" spans="27:48">
      <c r="AA10663" s="4"/>
      <c r="AV10663" s="11"/>
    </row>
    <row r="10664" spans="27:48">
      <c r="AA10664" s="4"/>
      <c r="AV10664" s="11"/>
    </row>
    <row r="10665" spans="27:48">
      <c r="AA10665" s="4"/>
      <c r="AV10665" s="11"/>
    </row>
    <row r="10666" spans="27:48">
      <c r="AA10666" s="4"/>
      <c r="AV10666" s="11"/>
    </row>
    <row r="10667" spans="27:48">
      <c r="AA10667" s="4"/>
      <c r="AV10667" s="11"/>
    </row>
    <row r="10668" spans="27:48">
      <c r="AA10668" s="4"/>
      <c r="AV10668" s="11"/>
    </row>
    <row r="10669" spans="27:48">
      <c r="AA10669" s="4"/>
      <c r="AV10669" s="11"/>
    </row>
    <row r="10670" spans="27:48">
      <c r="AA10670" s="4"/>
      <c r="AV10670" s="11"/>
    </row>
    <row r="10671" spans="27:48">
      <c r="AA10671" s="4"/>
      <c r="AV10671" s="11"/>
    </row>
    <row r="10672" spans="27:48">
      <c r="AA10672" s="4"/>
      <c r="AV10672" s="11"/>
    </row>
    <row r="10673" spans="27:56">
      <c r="AA10673" s="4"/>
      <c r="AV10673" s="11"/>
    </row>
    <row r="10674" spans="27:56">
      <c r="AA10674" s="4"/>
      <c r="AV10674" s="11"/>
    </row>
    <row r="10675" spans="27:56">
      <c r="AA10675" s="4"/>
      <c r="AV10675" s="11"/>
    </row>
    <row r="10676" spans="27:56">
      <c r="AA10676" s="4"/>
      <c r="AV10676" s="11"/>
    </row>
    <row r="10677" spans="27:56">
      <c r="AA10677" s="4"/>
      <c r="AV10677" s="11"/>
      <c r="BD10677" s="4"/>
    </row>
    <row r="10678" spans="27:56">
      <c r="AA10678" s="4"/>
      <c r="AV10678" s="11"/>
    </row>
    <row r="10679" spans="27:56">
      <c r="AA10679" s="4"/>
      <c r="AV10679" s="11"/>
    </row>
    <row r="10680" spans="27:56">
      <c r="AA10680" s="4"/>
      <c r="AV10680" s="11"/>
    </row>
    <row r="10681" spans="27:56">
      <c r="AA10681" s="4"/>
      <c r="AV10681" s="11"/>
    </row>
    <row r="10682" spans="27:56">
      <c r="AA10682" s="4"/>
      <c r="AV10682" s="11"/>
    </row>
    <row r="10683" spans="27:56">
      <c r="AA10683" s="4"/>
      <c r="AV10683" s="11"/>
    </row>
    <row r="10684" spans="27:56">
      <c r="AA10684" s="4"/>
      <c r="AV10684" s="11"/>
    </row>
    <row r="10685" spans="27:56">
      <c r="AA10685" s="4"/>
      <c r="AV10685" s="11"/>
    </row>
    <row r="10686" spans="27:56">
      <c r="AA10686" s="4"/>
      <c r="AV10686" s="11"/>
    </row>
    <row r="10687" spans="27:56">
      <c r="AA10687" s="4"/>
      <c r="AV10687" s="11"/>
    </row>
    <row r="10688" spans="27:56">
      <c r="AA10688" s="4"/>
      <c r="AV10688" s="11"/>
    </row>
    <row r="10689" spans="27:48">
      <c r="AA10689" s="4"/>
      <c r="AV10689" s="11"/>
    </row>
    <row r="10690" spans="27:48">
      <c r="AA10690" s="4"/>
      <c r="AV10690" s="11"/>
    </row>
    <row r="10691" spans="27:48">
      <c r="AA10691" s="4"/>
      <c r="AV10691" s="11"/>
    </row>
    <row r="10692" spans="27:48">
      <c r="AA10692" s="4"/>
      <c r="AV10692" s="11"/>
    </row>
    <row r="10693" spans="27:48">
      <c r="AA10693" s="4"/>
      <c r="AV10693" s="11"/>
    </row>
    <row r="10694" spans="27:48">
      <c r="AA10694" s="4"/>
      <c r="AV10694" s="11"/>
    </row>
    <row r="10695" spans="27:48">
      <c r="AA10695" s="4"/>
      <c r="AV10695" s="11"/>
    </row>
    <row r="10696" spans="27:48">
      <c r="AA10696" s="4"/>
      <c r="AV10696" s="11"/>
    </row>
    <row r="10697" spans="27:48">
      <c r="AA10697" s="4"/>
      <c r="AV10697" s="11"/>
    </row>
    <row r="10698" spans="27:48">
      <c r="AA10698" s="4"/>
      <c r="AV10698" s="11"/>
    </row>
    <row r="10699" spans="27:48">
      <c r="AA10699" s="4"/>
      <c r="AV10699" s="11"/>
    </row>
    <row r="10700" spans="27:48">
      <c r="AA10700" s="4"/>
      <c r="AV10700" s="11"/>
    </row>
    <row r="10701" spans="27:48">
      <c r="AA10701" s="4"/>
      <c r="AV10701" s="11"/>
    </row>
    <row r="10702" spans="27:48">
      <c r="AA10702" s="4"/>
      <c r="AV10702" s="11"/>
    </row>
    <row r="10703" spans="27:48">
      <c r="AA10703" s="4"/>
      <c r="AV10703" s="11"/>
    </row>
    <row r="10704" spans="27:48">
      <c r="AA10704" s="4"/>
      <c r="AV10704" s="11"/>
    </row>
    <row r="10705" spans="27:48">
      <c r="AA10705" s="4"/>
      <c r="AV10705" s="11"/>
    </row>
    <row r="10706" spans="27:48">
      <c r="AA10706" s="4"/>
      <c r="AV10706" s="11"/>
    </row>
    <row r="10707" spans="27:48">
      <c r="AA10707" s="4"/>
      <c r="AV10707" s="11"/>
    </row>
    <row r="10708" spans="27:48">
      <c r="AA10708" s="4"/>
      <c r="AV10708" s="11"/>
    </row>
    <row r="10709" spans="27:48">
      <c r="AA10709" s="4"/>
      <c r="AV10709" s="11"/>
    </row>
    <row r="10710" spans="27:48">
      <c r="AA10710" s="4"/>
      <c r="AV10710" s="11"/>
    </row>
    <row r="10711" spans="27:48">
      <c r="AA10711" s="4"/>
      <c r="AV10711" s="11"/>
    </row>
    <row r="10712" spans="27:48">
      <c r="AA10712" s="4"/>
      <c r="AV10712" s="11"/>
    </row>
    <row r="10713" spans="27:48">
      <c r="AA10713" s="4"/>
      <c r="AV10713" s="11"/>
    </row>
    <row r="10714" spans="27:48">
      <c r="AA10714" s="4"/>
      <c r="AV10714" s="11"/>
    </row>
    <row r="10715" spans="27:48">
      <c r="AA10715" s="4"/>
      <c r="AV10715" s="11"/>
    </row>
    <row r="10716" spans="27:48">
      <c r="AA10716" s="4"/>
      <c r="AV10716" s="11"/>
    </row>
    <row r="10717" spans="27:48">
      <c r="AA10717" s="4"/>
      <c r="AV10717" s="11"/>
    </row>
    <row r="10718" spans="27:48">
      <c r="AA10718" s="4"/>
      <c r="AV10718" s="11"/>
    </row>
    <row r="10719" spans="27:48">
      <c r="AA10719" s="4"/>
      <c r="AV10719" s="11"/>
    </row>
    <row r="10720" spans="27:48">
      <c r="AA10720" s="4"/>
      <c r="AV10720" s="11"/>
    </row>
    <row r="10721" spans="27:48">
      <c r="AA10721" s="4"/>
      <c r="AV10721" s="11"/>
    </row>
    <row r="10722" spans="27:48">
      <c r="AA10722" s="4"/>
      <c r="AV10722" s="11"/>
    </row>
    <row r="10723" spans="27:48">
      <c r="AA10723" s="4"/>
      <c r="AV10723" s="11"/>
    </row>
    <row r="10724" spans="27:48">
      <c r="AA10724" s="4"/>
      <c r="AV10724" s="11"/>
    </row>
    <row r="10725" spans="27:48">
      <c r="AA10725" s="4"/>
      <c r="AV10725" s="11"/>
    </row>
    <row r="10726" spans="27:48">
      <c r="AA10726" s="4"/>
      <c r="AV10726" s="11"/>
    </row>
    <row r="10727" spans="27:48">
      <c r="AA10727" s="4"/>
      <c r="AV10727" s="11"/>
    </row>
    <row r="10728" spans="27:48">
      <c r="AA10728" s="4"/>
      <c r="AV10728" s="11"/>
    </row>
    <row r="10729" spans="27:48">
      <c r="AA10729" s="4"/>
      <c r="AV10729" s="11"/>
    </row>
    <row r="10730" spans="27:48">
      <c r="AA10730" s="4"/>
      <c r="AV10730" s="11"/>
    </row>
    <row r="10731" spans="27:48">
      <c r="AA10731" s="4"/>
      <c r="AV10731" s="11"/>
    </row>
    <row r="10732" spans="27:48">
      <c r="AA10732" s="4"/>
      <c r="AV10732" s="11"/>
    </row>
    <row r="10733" spans="27:48">
      <c r="AA10733" s="4"/>
      <c r="AV10733" s="11"/>
    </row>
    <row r="10734" spans="27:48">
      <c r="AA10734" s="4"/>
      <c r="AV10734" s="11"/>
    </row>
    <row r="10735" spans="27:48">
      <c r="AA10735" s="4"/>
    </row>
    <row r="10736" spans="27:48">
      <c r="AA10736" s="4"/>
    </row>
    <row r="10737" spans="27:48">
      <c r="AA10737" s="4"/>
    </row>
    <row r="10738" spans="27:48">
      <c r="AA10738" s="4"/>
    </row>
    <row r="10739" spans="27:48">
      <c r="AA10739" s="4"/>
    </row>
    <row r="10740" spans="27:48">
      <c r="AA10740" s="4"/>
    </row>
    <row r="10741" spans="27:48">
      <c r="AA10741" s="4"/>
    </row>
    <row r="10742" spans="27:48">
      <c r="AA10742" s="4"/>
    </row>
    <row r="10743" spans="27:48">
      <c r="AA10743" s="4"/>
    </row>
    <row r="10744" spans="27:48">
      <c r="AA10744" s="4"/>
    </row>
    <row r="10745" spans="27:48">
      <c r="AA10745" s="4"/>
    </row>
    <row r="10746" spans="27:48">
      <c r="AA10746" s="4"/>
    </row>
    <row r="10747" spans="27:48">
      <c r="AA10747" s="4"/>
    </row>
    <row r="10748" spans="27:48">
      <c r="AA10748" s="4"/>
    </row>
    <row r="10749" spans="27:48">
      <c r="AA10749" s="4"/>
      <c r="AV10749" s="11"/>
    </row>
    <row r="10750" spans="27:48">
      <c r="AA10750" s="4"/>
      <c r="AV10750" s="11"/>
    </row>
    <row r="10751" spans="27:48">
      <c r="AA10751" s="4"/>
      <c r="AV10751" s="11"/>
    </row>
    <row r="10752" spans="27:48">
      <c r="AA10752" s="4"/>
      <c r="AV10752" s="11"/>
    </row>
    <row r="10753" spans="27:48">
      <c r="AA10753" s="4"/>
      <c r="AV10753" s="11"/>
    </row>
    <row r="10754" spans="27:48">
      <c r="AA10754" s="4"/>
      <c r="AV10754" s="11"/>
    </row>
    <row r="10755" spans="27:48">
      <c r="AA10755" s="4"/>
      <c r="AV10755" s="11"/>
    </row>
    <row r="10756" spans="27:48">
      <c r="AA10756" s="4"/>
      <c r="AV10756" s="11"/>
    </row>
    <row r="10757" spans="27:48">
      <c r="AA10757" s="4"/>
      <c r="AV10757" s="11"/>
    </row>
    <row r="10758" spans="27:48">
      <c r="AA10758" s="4"/>
      <c r="AV10758" s="11"/>
    </row>
    <row r="10759" spans="27:48">
      <c r="AA10759" s="4"/>
      <c r="AV10759" s="11"/>
    </row>
    <row r="10760" spans="27:48">
      <c r="AA10760" s="4"/>
      <c r="AV10760" s="11"/>
    </row>
    <row r="10761" spans="27:48">
      <c r="AA10761" s="4"/>
      <c r="AV10761" s="11"/>
    </row>
    <row r="10762" spans="27:48">
      <c r="AA10762" s="4"/>
      <c r="AV10762" s="11"/>
    </row>
    <row r="10763" spans="27:48">
      <c r="AA10763" s="4"/>
      <c r="AV10763" s="11"/>
    </row>
    <row r="10764" spans="27:48">
      <c r="AA10764" s="4"/>
      <c r="AV10764" s="11"/>
    </row>
    <row r="10765" spans="27:48">
      <c r="AA10765" s="4"/>
      <c r="AV10765" s="11"/>
    </row>
    <row r="10766" spans="27:48">
      <c r="AA10766" s="4"/>
      <c r="AV10766" s="11"/>
    </row>
    <row r="10767" spans="27:48">
      <c r="AA10767" s="4"/>
      <c r="AV10767" s="11"/>
    </row>
    <row r="10768" spans="27:48">
      <c r="AA10768" s="4"/>
      <c r="AV10768" s="11"/>
    </row>
    <row r="10769" spans="27:56">
      <c r="AA10769" s="4"/>
      <c r="AV10769" s="11"/>
    </row>
    <row r="10770" spans="27:56">
      <c r="AA10770" s="4"/>
      <c r="AV10770" s="11"/>
    </row>
    <row r="10771" spans="27:56">
      <c r="AA10771" s="4"/>
      <c r="AV10771" s="11"/>
    </row>
    <row r="10772" spans="27:56">
      <c r="AA10772" s="4"/>
      <c r="AV10772" s="11"/>
    </row>
    <row r="10773" spans="27:56">
      <c r="AA10773" s="4"/>
      <c r="AV10773" s="11"/>
      <c r="BD10773" s="4"/>
    </row>
    <row r="10774" spans="27:56">
      <c r="AV10774" s="11"/>
    </row>
    <row r="10775" spans="27:56">
      <c r="AV10775" s="11"/>
    </row>
    <row r="10776" spans="27:56">
      <c r="AV10776" s="11"/>
    </row>
    <row r="10777" spans="27:56">
      <c r="AV10777" s="11"/>
    </row>
    <row r="10778" spans="27:56">
      <c r="AV10778" s="11"/>
    </row>
    <row r="10779" spans="27:56">
      <c r="AV10779" s="11"/>
    </row>
    <row r="10780" spans="27:56">
      <c r="AV10780" s="11"/>
    </row>
    <row r="10781" spans="27:56">
      <c r="AV10781" s="11"/>
    </row>
    <row r="10782" spans="27:56">
      <c r="AV10782" s="11"/>
    </row>
    <row r="10783" spans="27:56">
      <c r="AV10783" s="11"/>
    </row>
    <row r="10784" spans="27:56">
      <c r="AV10784" s="11"/>
    </row>
    <row r="10785" spans="27:48">
      <c r="AV10785" s="11"/>
    </row>
    <row r="10786" spans="27:48">
      <c r="AV10786" s="11"/>
    </row>
    <row r="10787" spans="27:48">
      <c r="AV10787" s="11"/>
    </row>
    <row r="10788" spans="27:48">
      <c r="AV10788" s="11"/>
    </row>
    <row r="10789" spans="27:48">
      <c r="AV10789" s="11"/>
    </row>
    <row r="10790" spans="27:48">
      <c r="AV10790" s="11"/>
    </row>
    <row r="10791" spans="27:48">
      <c r="AA10791" s="4"/>
      <c r="AV10791" s="11"/>
    </row>
    <row r="10792" spans="27:48">
      <c r="AA10792" s="4"/>
      <c r="AV10792" s="11"/>
    </row>
    <row r="10793" spans="27:48">
      <c r="AA10793" s="4"/>
      <c r="AV10793" s="11"/>
    </row>
    <row r="10794" spans="27:48">
      <c r="AA10794" s="4"/>
      <c r="AV10794" s="11"/>
    </row>
    <row r="10795" spans="27:48">
      <c r="AA10795" s="4"/>
      <c r="AV10795" s="11"/>
    </row>
    <row r="10796" spans="27:48">
      <c r="AA10796" s="4"/>
      <c r="AV10796" s="11"/>
    </row>
    <row r="10797" spans="27:48">
      <c r="AA10797" s="4"/>
      <c r="AV10797" s="11"/>
    </row>
    <row r="10798" spans="27:48">
      <c r="AA10798" s="4"/>
      <c r="AV10798" s="11"/>
    </row>
    <row r="10799" spans="27:48">
      <c r="AA10799" s="4"/>
    </row>
    <row r="10800" spans="27:48">
      <c r="AA10800" s="4"/>
    </row>
    <row r="10801" spans="27:56">
      <c r="AA10801" s="4"/>
    </row>
    <row r="10802" spans="27:56">
      <c r="AA10802" s="4"/>
    </row>
    <row r="10803" spans="27:56">
      <c r="AA10803" s="4"/>
      <c r="BD10803" s="4"/>
    </row>
    <row r="10804" spans="27:56">
      <c r="AA10804" s="4"/>
    </row>
    <row r="10805" spans="27:56">
      <c r="AA10805" s="4"/>
    </row>
    <row r="10806" spans="27:56">
      <c r="AA10806" s="4"/>
    </row>
    <row r="10807" spans="27:56">
      <c r="AA10807" s="4"/>
    </row>
    <row r="10808" spans="27:56">
      <c r="AA10808" s="4"/>
    </row>
    <row r="10809" spans="27:56">
      <c r="AA10809" s="4"/>
    </row>
    <row r="10810" spans="27:56">
      <c r="AA10810" s="4"/>
    </row>
    <row r="10811" spans="27:56">
      <c r="AA10811" s="4"/>
    </row>
    <row r="10812" spans="27:56">
      <c r="AA10812" s="4"/>
    </row>
    <row r="10813" spans="27:56">
      <c r="AA10813" s="4"/>
    </row>
    <row r="10814" spans="27:56">
      <c r="AA10814" s="4"/>
    </row>
    <row r="10815" spans="27:56">
      <c r="AA10815" s="4"/>
    </row>
    <row r="10816" spans="27:56">
      <c r="AA10816" s="4"/>
    </row>
    <row r="10817" spans="27:56">
      <c r="AA10817" s="4"/>
    </row>
    <row r="10818" spans="27:56">
      <c r="AA10818" s="4"/>
    </row>
    <row r="10819" spans="27:56">
      <c r="AA10819" s="4"/>
    </row>
    <row r="10820" spans="27:56">
      <c r="AA10820" s="4"/>
    </row>
    <row r="10821" spans="27:56">
      <c r="AA10821" s="4"/>
    </row>
    <row r="10822" spans="27:56">
      <c r="AA10822" s="4"/>
      <c r="BD10822" s="4"/>
    </row>
    <row r="10823" spans="27:56">
      <c r="AA10823" s="4"/>
    </row>
    <row r="10824" spans="27:56">
      <c r="AA10824" s="4"/>
    </row>
    <row r="10825" spans="27:56">
      <c r="AA10825" s="4"/>
    </row>
    <row r="10826" spans="27:56">
      <c r="AA10826" s="4"/>
    </row>
    <row r="10827" spans="27:56">
      <c r="AA10827" s="4"/>
    </row>
    <row r="10828" spans="27:56">
      <c r="AA10828" s="4"/>
    </row>
    <row r="10829" spans="27:56">
      <c r="AA10829" s="4"/>
    </row>
    <row r="10830" spans="27:56">
      <c r="AA10830" s="4"/>
    </row>
    <row r="10831" spans="27:56">
      <c r="AA10831" s="4"/>
    </row>
    <row r="10832" spans="27:56">
      <c r="AA10832" s="4"/>
    </row>
    <row r="10833" spans="27:27">
      <c r="AA10833" s="4"/>
    </row>
    <row r="10834" spans="27:27">
      <c r="AA10834" s="4"/>
    </row>
    <row r="10835" spans="27:27">
      <c r="AA10835" s="4"/>
    </row>
    <row r="10836" spans="27:27">
      <c r="AA10836" s="4"/>
    </row>
    <row r="10837" spans="27:27">
      <c r="AA10837" s="4"/>
    </row>
    <row r="10838" spans="27:27">
      <c r="AA10838" s="4"/>
    </row>
    <row r="10839" spans="27:27">
      <c r="AA10839" s="4"/>
    </row>
    <row r="10840" spans="27:27">
      <c r="AA10840" s="4"/>
    </row>
    <row r="10841" spans="27:27">
      <c r="AA10841" s="4"/>
    </row>
    <row r="10842" spans="27:27">
      <c r="AA10842" s="4"/>
    </row>
    <row r="10843" spans="27:27">
      <c r="AA10843" s="4"/>
    </row>
    <row r="10844" spans="27:27">
      <c r="AA10844" s="4"/>
    </row>
    <row r="10845" spans="27:27">
      <c r="AA10845" s="4"/>
    </row>
    <row r="10846" spans="27:27">
      <c r="AA10846" s="4"/>
    </row>
    <row r="10847" spans="27:27">
      <c r="AA10847" s="4"/>
    </row>
    <row r="10848" spans="27:27">
      <c r="AA10848" s="4"/>
    </row>
    <row r="10849" spans="27:27">
      <c r="AA10849" s="4"/>
    </row>
    <row r="10850" spans="27:27">
      <c r="AA10850" s="4"/>
    </row>
    <row r="10851" spans="27:27">
      <c r="AA10851" s="4"/>
    </row>
    <row r="10852" spans="27:27">
      <c r="AA10852" s="4"/>
    </row>
    <row r="10853" spans="27:27">
      <c r="AA10853" s="4"/>
    </row>
    <row r="10854" spans="27:27">
      <c r="AA10854" s="4"/>
    </row>
    <row r="10855" spans="27:27">
      <c r="AA10855" s="4"/>
    </row>
    <row r="10856" spans="27:27">
      <c r="AA10856" s="4"/>
    </row>
    <row r="10857" spans="27:27">
      <c r="AA10857" s="4"/>
    </row>
    <row r="10858" spans="27:27">
      <c r="AA10858" s="4"/>
    </row>
    <row r="10859" spans="27:27">
      <c r="AA10859" s="4"/>
    </row>
    <row r="10860" spans="27:27">
      <c r="AA10860" s="4"/>
    </row>
    <row r="10861" spans="27:27">
      <c r="AA10861" s="4"/>
    </row>
    <row r="10862" spans="27:27">
      <c r="AA10862" s="4"/>
    </row>
    <row r="10863" spans="27:27">
      <c r="AA10863" s="4"/>
    </row>
    <row r="10864" spans="27:27">
      <c r="AA10864" s="4"/>
    </row>
    <row r="10865" spans="27:27">
      <c r="AA10865" s="4"/>
    </row>
    <row r="10866" spans="27:27">
      <c r="AA10866" s="4"/>
    </row>
    <row r="10867" spans="27:27">
      <c r="AA10867" s="4"/>
    </row>
    <row r="10868" spans="27:27">
      <c r="AA10868" s="4"/>
    </row>
    <row r="10869" spans="27:27">
      <c r="AA10869" s="4"/>
    </row>
    <row r="10870" spans="27:27">
      <c r="AA10870" s="4"/>
    </row>
    <row r="10871" spans="27:27">
      <c r="AA10871" s="4"/>
    </row>
    <row r="10872" spans="27:27">
      <c r="AA10872" s="4"/>
    </row>
    <row r="10873" spans="27:27">
      <c r="AA10873" s="4"/>
    </row>
    <row r="10874" spans="27:27">
      <c r="AA10874" s="4"/>
    </row>
    <row r="10875" spans="27:27">
      <c r="AA10875" s="4"/>
    </row>
    <row r="10876" spans="27:27">
      <c r="AA10876" s="4"/>
    </row>
    <row r="10877" spans="27:27">
      <c r="AA10877" s="4"/>
    </row>
    <row r="10878" spans="27:27">
      <c r="AA10878" s="4"/>
    </row>
    <row r="10879" spans="27:27">
      <c r="AA10879" s="4"/>
    </row>
    <row r="10880" spans="27:27">
      <c r="AA10880" s="4"/>
    </row>
    <row r="10881" spans="27:56">
      <c r="AA10881" s="4"/>
    </row>
    <row r="10882" spans="27:56">
      <c r="AA10882" s="4"/>
    </row>
    <row r="10883" spans="27:56">
      <c r="AA10883" s="4"/>
      <c r="BD10883" s="4"/>
    </row>
    <row r="10884" spans="27:56">
      <c r="AA10884" s="4"/>
    </row>
    <row r="10885" spans="27:56">
      <c r="AA10885" s="4"/>
    </row>
    <row r="10886" spans="27:56">
      <c r="AA10886" s="4"/>
    </row>
    <row r="10887" spans="27:56">
      <c r="AA10887" s="4"/>
    </row>
    <row r="10888" spans="27:56">
      <c r="AA10888" s="4"/>
    </row>
    <row r="10889" spans="27:56">
      <c r="AA10889" s="4"/>
    </row>
    <row r="10890" spans="27:56">
      <c r="AA10890" s="4"/>
    </row>
    <row r="10891" spans="27:56">
      <c r="AA10891" s="4"/>
    </row>
    <row r="10892" spans="27:56">
      <c r="AA10892" s="4"/>
    </row>
    <row r="10893" spans="27:56">
      <c r="AA10893" s="4"/>
    </row>
    <row r="10894" spans="27:56">
      <c r="AA10894" s="4"/>
    </row>
    <row r="10895" spans="27:56">
      <c r="AA10895" s="4"/>
    </row>
    <row r="10896" spans="27:56">
      <c r="AA10896" s="4"/>
    </row>
    <row r="10897" spans="27:27">
      <c r="AA10897" s="4"/>
    </row>
    <row r="10898" spans="27:27">
      <c r="AA10898" s="4"/>
    </row>
    <row r="10899" spans="27:27">
      <c r="AA10899" s="4"/>
    </row>
    <row r="10900" spans="27:27">
      <c r="AA10900" s="4"/>
    </row>
    <row r="10901" spans="27:27">
      <c r="AA10901" s="4"/>
    </row>
    <row r="10902" spans="27:27">
      <c r="AA10902" s="4"/>
    </row>
    <row r="10903" spans="27:27">
      <c r="AA10903" s="4"/>
    </row>
    <row r="10904" spans="27:27">
      <c r="AA10904" s="4"/>
    </row>
    <row r="10905" spans="27:27">
      <c r="AA10905" s="4"/>
    </row>
    <row r="10906" spans="27:27">
      <c r="AA10906" s="4"/>
    </row>
    <row r="10907" spans="27:27">
      <c r="AA10907" s="4"/>
    </row>
    <row r="10908" spans="27:27">
      <c r="AA10908" s="4"/>
    </row>
    <row r="10909" spans="27:27">
      <c r="AA10909" s="4"/>
    </row>
    <row r="10910" spans="27:27">
      <c r="AA10910" s="4"/>
    </row>
    <row r="10911" spans="27:27">
      <c r="AA10911" s="4"/>
    </row>
    <row r="10912" spans="27:27">
      <c r="AA10912" s="4"/>
    </row>
    <row r="10913" spans="27:27">
      <c r="AA10913" s="4"/>
    </row>
    <row r="10914" spans="27:27">
      <c r="AA10914" s="4"/>
    </row>
    <row r="10915" spans="27:27">
      <c r="AA10915" s="4"/>
    </row>
    <row r="10916" spans="27:27">
      <c r="AA10916" s="4"/>
    </row>
    <row r="10917" spans="27:27">
      <c r="AA10917" s="4"/>
    </row>
    <row r="10918" spans="27:27">
      <c r="AA10918" s="4"/>
    </row>
    <row r="10919" spans="27:27">
      <c r="AA10919" s="4"/>
    </row>
    <row r="10920" spans="27:27">
      <c r="AA10920" s="4"/>
    </row>
    <row r="10921" spans="27:27">
      <c r="AA10921" s="4"/>
    </row>
    <row r="10922" spans="27:27">
      <c r="AA10922" s="4"/>
    </row>
    <row r="10923" spans="27:27">
      <c r="AA10923" s="4"/>
    </row>
    <row r="10924" spans="27:27">
      <c r="AA10924" s="4"/>
    </row>
    <row r="10925" spans="27:27">
      <c r="AA10925" s="4"/>
    </row>
    <row r="10926" spans="27:27">
      <c r="AA10926" s="4"/>
    </row>
    <row r="10927" spans="27:27">
      <c r="AA10927" s="4"/>
    </row>
    <row r="10928" spans="27:27">
      <c r="AA10928" s="4"/>
    </row>
    <row r="10929" spans="27:27">
      <c r="AA10929" s="4"/>
    </row>
    <row r="10930" spans="27:27">
      <c r="AA10930" s="4"/>
    </row>
    <row r="10931" spans="27:27">
      <c r="AA10931" s="4"/>
    </row>
    <row r="10932" spans="27:27">
      <c r="AA10932" s="4"/>
    </row>
    <row r="10933" spans="27:27">
      <c r="AA10933" s="4"/>
    </row>
    <row r="10934" spans="27:27">
      <c r="AA10934" s="4"/>
    </row>
    <row r="10935" spans="27:27">
      <c r="AA10935" s="4"/>
    </row>
    <row r="10936" spans="27:27">
      <c r="AA10936" s="4"/>
    </row>
    <row r="10937" spans="27:27">
      <c r="AA10937" s="4"/>
    </row>
    <row r="10938" spans="27:27">
      <c r="AA10938" s="4"/>
    </row>
    <row r="10939" spans="27:27">
      <c r="AA10939" s="4"/>
    </row>
    <row r="10940" spans="27:27">
      <c r="AA10940" s="4"/>
    </row>
    <row r="10941" spans="27:27">
      <c r="AA10941" s="4"/>
    </row>
    <row r="10942" spans="27:27">
      <c r="AA10942" s="4"/>
    </row>
    <row r="10943" spans="27:27">
      <c r="AA10943" s="4"/>
    </row>
    <row r="10944" spans="27:27">
      <c r="AA10944" s="4"/>
    </row>
    <row r="10945" spans="27:27">
      <c r="AA10945" s="4"/>
    </row>
    <row r="10946" spans="27:27">
      <c r="AA10946" s="4"/>
    </row>
    <row r="10947" spans="27:27">
      <c r="AA10947" s="4"/>
    </row>
    <row r="10948" spans="27:27">
      <c r="AA10948" s="4"/>
    </row>
    <row r="10949" spans="27:27">
      <c r="AA10949" s="4"/>
    </row>
    <row r="10950" spans="27:27">
      <c r="AA10950" s="4"/>
    </row>
    <row r="10951" spans="27:27">
      <c r="AA10951" s="4"/>
    </row>
    <row r="10952" spans="27:27">
      <c r="AA10952" s="4"/>
    </row>
    <row r="10953" spans="27:27">
      <c r="AA10953" s="4"/>
    </row>
    <row r="10954" spans="27:27">
      <c r="AA10954" s="4"/>
    </row>
    <row r="10955" spans="27:27">
      <c r="AA10955" s="4"/>
    </row>
    <row r="10956" spans="27:27">
      <c r="AA10956" s="4"/>
    </row>
    <row r="10957" spans="27:27">
      <c r="AA10957" s="4"/>
    </row>
    <row r="10958" spans="27:27">
      <c r="AA10958" s="4"/>
    </row>
    <row r="10959" spans="27:27">
      <c r="AA10959" s="4"/>
    </row>
    <row r="10960" spans="27:27">
      <c r="AA10960" s="4"/>
    </row>
    <row r="10961" spans="27:27">
      <c r="AA10961" s="4"/>
    </row>
    <row r="10962" spans="27:27">
      <c r="AA10962" s="4"/>
    </row>
    <row r="10963" spans="27:27">
      <c r="AA10963" s="4"/>
    </row>
    <row r="10964" spans="27:27">
      <c r="AA10964" s="4"/>
    </row>
    <row r="10965" spans="27:27">
      <c r="AA10965" s="4"/>
    </row>
    <row r="10966" spans="27:27">
      <c r="AA10966" s="4"/>
    </row>
    <row r="10967" spans="27:27">
      <c r="AA10967" s="4"/>
    </row>
    <row r="10968" spans="27:27">
      <c r="AA10968" s="4"/>
    </row>
    <row r="10969" spans="27:27">
      <c r="AA10969" s="4"/>
    </row>
    <row r="10970" spans="27:27">
      <c r="AA10970" s="4"/>
    </row>
    <row r="10971" spans="27:27">
      <c r="AA10971" s="4"/>
    </row>
    <row r="10972" spans="27:27">
      <c r="AA10972" s="4"/>
    </row>
    <row r="10973" spans="27:27">
      <c r="AA10973" s="4"/>
    </row>
    <row r="10974" spans="27:27">
      <c r="AA10974" s="4"/>
    </row>
    <row r="10975" spans="27:27">
      <c r="AA10975" s="4"/>
    </row>
    <row r="10976" spans="27:27">
      <c r="AA10976" s="4"/>
    </row>
    <row r="10977" spans="27:27">
      <c r="AA10977" s="4"/>
    </row>
    <row r="10978" spans="27:27">
      <c r="AA10978" s="4"/>
    </row>
    <row r="10979" spans="27:27">
      <c r="AA10979" s="4"/>
    </row>
    <row r="10980" spans="27:27">
      <c r="AA10980" s="4"/>
    </row>
    <row r="10981" spans="27:27">
      <c r="AA10981" s="4"/>
    </row>
    <row r="10982" spans="27:27">
      <c r="AA10982" s="4"/>
    </row>
    <row r="10983" spans="27:27">
      <c r="AA10983" s="4"/>
    </row>
    <row r="10984" spans="27:27">
      <c r="AA10984" s="4"/>
    </row>
    <row r="10985" spans="27:27">
      <c r="AA10985" s="4"/>
    </row>
    <row r="10986" spans="27:27">
      <c r="AA10986" s="4"/>
    </row>
    <row r="10987" spans="27:27">
      <c r="AA10987" s="4"/>
    </row>
    <row r="10988" spans="27:27">
      <c r="AA10988" s="4"/>
    </row>
    <row r="10989" spans="27:27">
      <c r="AA10989" s="4"/>
    </row>
    <row r="10990" spans="27:27">
      <c r="AA10990" s="4"/>
    </row>
    <row r="10991" spans="27:27">
      <c r="AA10991" s="4"/>
    </row>
    <row r="10992" spans="27:27">
      <c r="AA10992" s="4"/>
    </row>
    <row r="10993" spans="27:27">
      <c r="AA10993" s="4"/>
    </row>
    <row r="10994" spans="27:27">
      <c r="AA10994" s="4"/>
    </row>
    <row r="10995" spans="27:27">
      <c r="AA10995" s="4"/>
    </row>
    <row r="10996" spans="27:27">
      <c r="AA10996" s="4"/>
    </row>
    <row r="10997" spans="27:27">
      <c r="AA10997" s="4"/>
    </row>
    <row r="10998" spans="27:27">
      <c r="AA10998" s="4"/>
    </row>
    <row r="10999" spans="27:27">
      <c r="AA10999" s="4"/>
    </row>
    <row r="11000" spans="27:27">
      <c r="AA11000" s="4"/>
    </row>
    <row r="11001" spans="27:27">
      <c r="AA11001" s="4"/>
    </row>
    <row r="11002" spans="27:27">
      <c r="AA11002" s="4"/>
    </row>
    <row r="11003" spans="27:27">
      <c r="AA11003" s="4"/>
    </row>
    <row r="11004" spans="27:27">
      <c r="AA11004" s="4"/>
    </row>
    <row r="11005" spans="27:27">
      <c r="AA11005" s="4"/>
    </row>
    <row r="11006" spans="27:27">
      <c r="AA11006" s="4"/>
    </row>
    <row r="11007" spans="27:27">
      <c r="AA11007" s="4"/>
    </row>
    <row r="11008" spans="27:27">
      <c r="AA11008" s="4"/>
    </row>
    <row r="11009" spans="27:27">
      <c r="AA11009" s="4"/>
    </row>
    <row r="11010" spans="27:27">
      <c r="AA11010" s="4"/>
    </row>
    <row r="11011" spans="27:27">
      <c r="AA11011" s="4"/>
    </row>
    <row r="11012" spans="27:27">
      <c r="AA11012" s="4"/>
    </row>
    <row r="11013" spans="27:27">
      <c r="AA11013" s="4"/>
    </row>
    <row r="11014" spans="27:27">
      <c r="AA11014" s="4"/>
    </row>
    <row r="11015" spans="27:27">
      <c r="AA11015" s="4"/>
    </row>
    <row r="11016" spans="27:27">
      <c r="AA11016" s="4"/>
    </row>
    <row r="11017" spans="27:27">
      <c r="AA11017" s="4"/>
    </row>
    <row r="11018" spans="27:27">
      <c r="AA11018" s="4"/>
    </row>
    <row r="11019" spans="27:27">
      <c r="AA11019" s="4"/>
    </row>
    <row r="11020" spans="27:27">
      <c r="AA11020" s="4"/>
    </row>
    <row r="11021" spans="27:27">
      <c r="AA11021" s="4"/>
    </row>
    <row r="11022" spans="27:27">
      <c r="AA11022" s="4"/>
    </row>
    <row r="11023" spans="27:27">
      <c r="AA11023" s="4"/>
    </row>
    <row r="11024" spans="27:27">
      <c r="AA11024" s="4"/>
    </row>
    <row r="11025" spans="27:27">
      <c r="AA11025" s="4"/>
    </row>
    <row r="11026" spans="27:27">
      <c r="AA11026" s="4"/>
    </row>
    <row r="11027" spans="27:27">
      <c r="AA11027" s="4"/>
    </row>
    <row r="11028" spans="27:27">
      <c r="AA11028" s="4"/>
    </row>
    <row r="11029" spans="27:27">
      <c r="AA11029" s="4"/>
    </row>
    <row r="11030" spans="27:27">
      <c r="AA11030" s="4"/>
    </row>
    <row r="11031" spans="27:27">
      <c r="AA11031" s="4"/>
    </row>
    <row r="11032" spans="27:27">
      <c r="AA11032" s="4"/>
    </row>
    <row r="11033" spans="27:27">
      <c r="AA11033" s="4"/>
    </row>
    <row r="11034" spans="27:27">
      <c r="AA11034" s="4"/>
    </row>
    <row r="11035" spans="27:27">
      <c r="AA11035" s="4"/>
    </row>
    <row r="11036" spans="27:27">
      <c r="AA11036" s="4"/>
    </row>
    <row r="11037" spans="27:27">
      <c r="AA11037" s="4"/>
    </row>
    <row r="11038" spans="27:27">
      <c r="AA11038" s="4"/>
    </row>
    <row r="11039" spans="27:27">
      <c r="AA11039" s="4"/>
    </row>
    <row r="11040" spans="27:27">
      <c r="AA11040" s="4"/>
    </row>
    <row r="11041" spans="27:27">
      <c r="AA11041" s="4"/>
    </row>
    <row r="11042" spans="27:27">
      <c r="AA11042" s="4"/>
    </row>
    <row r="11043" spans="27:27">
      <c r="AA11043" s="4"/>
    </row>
    <row r="11044" spans="27:27">
      <c r="AA11044" s="4"/>
    </row>
    <row r="11045" spans="27:27">
      <c r="AA11045" s="4"/>
    </row>
    <row r="11046" spans="27:27">
      <c r="AA11046" s="4"/>
    </row>
    <row r="11047" spans="27:27">
      <c r="AA11047" s="4"/>
    </row>
    <row r="11048" spans="27:27">
      <c r="AA11048" s="4"/>
    </row>
    <row r="11049" spans="27:27">
      <c r="AA11049" s="4"/>
    </row>
    <row r="11050" spans="27:27">
      <c r="AA11050" s="4"/>
    </row>
    <row r="11051" spans="27:27">
      <c r="AA11051" s="4"/>
    </row>
    <row r="11052" spans="27:27">
      <c r="AA11052" s="4"/>
    </row>
    <row r="11053" spans="27:27">
      <c r="AA11053" s="4"/>
    </row>
    <row r="11054" spans="27:27">
      <c r="AA11054" s="4"/>
    </row>
    <row r="11055" spans="27:27">
      <c r="AA11055" s="4"/>
    </row>
    <row r="11056" spans="27:27">
      <c r="AA11056" s="4"/>
    </row>
    <row r="11057" spans="27:27">
      <c r="AA11057" s="4"/>
    </row>
    <row r="11058" spans="27:27">
      <c r="AA11058" s="4"/>
    </row>
    <row r="11059" spans="27:27">
      <c r="AA11059" s="4"/>
    </row>
    <row r="11060" spans="27:27">
      <c r="AA11060" s="4"/>
    </row>
    <row r="11061" spans="27:27">
      <c r="AA11061" s="4"/>
    </row>
    <row r="11062" spans="27:27">
      <c r="AA11062" s="4"/>
    </row>
    <row r="11063" spans="27:27">
      <c r="AA11063" s="4"/>
    </row>
    <row r="11064" spans="27:27">
      <c r="AA11064" s="4"/>
    </row>
    <row r="11065" spans="27:27">
      <c r="AA11065" s="4"/>
    </row>
    <row r="11066" spans="27:27">
      <c r="AA11066" s="4"/>
    </row>
    <row r="11067" spans="27:27">
      <c r="AA11067" s="4"/>
    </row>
    <row r="11068" spans="27:27">
      <c r="AA11068" s="4"/>
    </row>
    <row r="11069" spans="27:27">
      <c r="AA11069" s="4"/>
    </row>
    <row r="11070" spans="27:27">
      <c r="AA11070" s="4"/>
    </row>
    <row r="11071" spans="27:27">
      <c r="AA11071" s="4"/>
    </row>
    <row r="11072" spans="27:27">
      <c r="AA11072" s="4"/>
    </row>
    <row r="11073" spans="27:56">
      <c r="AA11073" s="4"/>
    </row>
    <row r="11074" spans="27:56">
      <c r="AA11074" s="4"/>
    </row>
    <row r="11075" spans="27:56">
      <c r="AA11075" s="4"/>
    </row>
    <row r="11076" spans="27:56">
      <c r="AA11076" s="4"/>
    </row>
    <row r="11077" spans="27:56">
      <c r="AA11077" s="4"/>
    </row>
    <row r="11078" spans="27:56">
      <c r="AA11078" s="4"/>
    </row>
    <row r="11079" spans="27:56">
      <c r="AA11079" s="4"/>
    </row>
    <row r="11080" spans="27:56">
      <c r="AA11080" s="4"/>
    </row>
    <row r="11081" spans="27:56">
      <c r="AA11081" s="4"/>
    </row>
    <row r="11082" spans="27:56">
      <c r="AA11082" s="4"/>
      <c r="BD11082" s="4"/>
    </row>
    <row r="11083" spans="27:56">
      <c r="AA11083" s="4"/>
    </row>
    <row r="11084" spans="27:56">
      <c r="AA11084" s="4"/>
    </row>
    <row r="11085" spans="27:56">
      <c r="AA11085" s="4"/>
    </row>
    <row r="11086" spans="27:56">
      <c r="AA11086" s="4"/>
    </row>
    <row r="11087" spans="27:56">
      <c r="AA11087" s="4"/>
    </row>
    <row r="11088" spans="27:56">
      <c r="AA11088" s="4"/>
    </row>
    <row r="11089" spans="27:27">
      <c r="AA11089" s="4"/>
    </row>
    <row r="11090" spans="27:27">
      <c r="AA11090" s="4"/>
    </row>
    <row r="11091" spans="27:27">
      <c r="AA11091" s="4"/>
    </row>
    <row r="11092" spans="27:27">
      <c r="AA11092" s="4"/>
    </row>
    <row r="11093" spans="27:27">
      <c r="AA11093" s="4"/>
    </row>
    <row r="11094" spans="27:27">
      <c r="AA11094" s="4"/>
    </row>
    <row r="11095" spans="27:27">
      <c r="AA11095" s="4"/>
    </row>
    <row r="11096" spans="27:27">
      <c r="AA11096" s="4"/>
    </row>
    <row r="11097" spans="27:27">
      <c r="AA11097" s="4"/>
    </row>
    <row r="11098" spans="27:27">
      <c r="AA11098" s="4"/>
    </row>
    <row r="11099" spans="27:27">
      <c r="AA11099" s="4"/>
    </row>
    <row r="11100" spans="27:27">
      <c r="AA11100" s="4"/>
    </row>
    <row r="11101" spans="27:27">
      <c r="AA11101" s="4"/>
    </row>
    <row r="11102" spans="27:27">
      <c r="AA11102" s="4"/>
    </row>
    <row r="11103" spans="27:27">
      <c r="AA11103" s="4"/>
    </row>
    <row r="11104" spans="27:27">
      <c r="AA11104" s="4"/>
    </row>
    <row r="11105" spans="27:48">
      <c r="AA11105" s="4"/>
    </row>
    <row r="11106" spans="27:48">
      <c r="AA11106" s="4"/>
    </row>
    <row r="11107" spans="27:48">
      <c r="AA11107" s="4"/>
    </row>
    <row r="11108" spans="27:48">
      <c r="AA11108" s="4"/>
    </row>
    <row r="11109" spans="27:48">
      <c r="AA11109" s="4"/>
    </row>
    <row r="11110" spans="27:48">
      <c r="AA11110" s="4"/>
    </row>
    <row r="11111" spans="27:48">
      <c r="AA11111" s="4"/>
    </row>
    <row r="11112" spans="27:48">
      <c r="AA11112" s="4"/>
    </row>
    <row r="11113" spans="27:48">
      <c r="AA11113" s="4"/>
      <c r="AV11113" s="11"/>
    </row>
    <row r="11114" spans="27:48">
      <c r="AA11114" s="4"/>
      <c r="AV11114" s="11"/>
    </row>
    <row r="11115" spans="27:48">
      <c r="AA11115" s="4"/>
      <c r="AV11115" s="11"/>
    </row>
    <row r="11116" spans="27:48">
      <c r="AA11116" s="4"/>
      <c r="AV11116" s="11"/>
    </row>
    <row r="11117" spans="27:48">
      <c r="AA11117" s="4"/>
      <c r="AV11117" s="11"/>
    </row>
    <row r="11118" spans="27:48">
      <c r="AA11118" s="4"/>
      <c r="AV11118" s="11"/>
    </row>
    <row r="11119" spans="27:48">
      <c r="AV11119" s="11"/>
    </row>
    <row r="11120" spans="27:48">
      <c r="AV11120" s="11"/>
    </row>
    <row r="11121" spans="48:48">
      <c r="AV11121" s="11"/>
    </row>
    <row r="11122" spans="48:48">
      <c r="AV11122" s="11"/>
    </row>
    <row r="11123" spans="48:48">
      <c r="AV11123" s="11"/>
    </row>
    <row r="11124" spans="48:48">
      <c r="AV11124" s="11"/>
    </row>
    <row r="11125" spans="48:48">
      <c r="AV11125" s="11"/>
    </row>
    <row r="11126" spans="48:48">
      <c r="AV11126" s="11"/>
    </row>
    <row r="11127" spans="48:48">
      <c r="AV11127" s="11"/>
    </row>
    <row r="11128" spans="48:48">
      <c r="AV11128" s="11"/>
    </row>
    <row r="11129" spans="48:48">
      <c r="AV11129" s="11"/>
    </row>
    <row r="11130" spans="48:48">
      <c r="AV11130" s="11"/>
    </row>
    <row r="11131" spans="48:48">
      <c r="AV11131" s="11"/>
    </row>
    <row r="11132" spans="48:48">
      <c r="AV11132" s="11"/>
    </row>
    <row r="11133" spans="48:48">
      <c r="AV11133" s="11"/>
    </row>
    <row r="11134" spans="48:48">
      <c r="AV11134" s="11"/>
    </row>
    <row r="11135" spans="48:48">
      <c r="AV11135" s="11"/>
    </row>
    <row r="11136" spans="48:48">
      <c r="AV11136" s="11"/>
    </row>
    <row r="11137" spans="48:56">
      <c r="AV11137" s="11"/>
    </row>
    <row r="11138" spans="48:56">
      <c r="AV11138" s="11"/>
    </row>
    <row r="11139" spans="48:56">
      <c r="AV11139" s="11"/>
    </row>
    <row r="11140" spans="48:56">
      <c r="AV11140" s="11"/>
    </row>
    <row r="11141" spans="48:56">
      <c r="AV11141" s="11"/>
    </row>
    <row r="11142" spans="48:56">
      <c r="AV11142" s="11"/>
      <c r="BD11142" s="4"/>
    </row>
    <row r="11143" spans="48:56">
      <c r="AV11143" s="11"/>
    </row>
    <row r="11144" spans="48:56">
      <c r="AV11144" s="11"/>
    </row>
    <row r="11145" spans="48:56">
      <c r="AV11145" s="11"/>
    </row>
    <row r="11146" spans="48:56">
      <c r="AV11146" s="11"/>
    </row>
    <row r="11147" spans="48:56">
      <c r="AV11147" s="11"/>
    </row>
    <row r="11148" spans="48:56">
      <c r="AV11148" s="11"/>
    </row>
    <row r="11149" spans="48:56">
      <c r="AV11149" s="11"/>
    </row>
    <row r="11150" spans="48:56">
      <c r="AV11150" s="11"/>
    </row>
    <row r="11151" spans="48:56">
      <c r="AV11151" s="11"/>
    </row>
    <row r="11152" spans="48:56">
      <c r="AV11152" s="11"/>
    </row>
    <row r="11153" spans="48:48">
      <c r="AV11153" s="11"/>
    </row>
    <row r="11154" spans="48:48">
      <c r="AV11154" s="11"/>
    </row>
    <row r="11155" spans="48:48">
      <c r="AV11155" s="11"/>
    </row>
    <row r="11156" spans="48:48">
      <c r="AV11156" s="11"/>
    </row>
    <row r="11157" spans="48:48">
      <c r="AV11157" s="11"/>
    </row>
    <row r="11158" spans="48:48">
      <c r="AV11158" s="11"/>
    </row>
    <row r="11159" spans="48:48">
      <c r="AV11159" s="11"/>
    </row>
    <row r="11160" spans="48:48">
      <c r="AV11160" s="11"/>
    </row>
    <row r="11161" spans="48:48">
      <c r="AV11161" s="11"/>
    </row>
    <row r="11162" spans="48:48">
      <c r="AV11162" s="11"/>
    </row>
    <row r="11163" spans="48:48">
      <c r="AV11163" s="11"/>
    </row>
    <row r="11164" spans="48:48">
      <c r="AV11164" s="11"/>
    </row>
    <row r="11165" spans="48:48">
      <c r="AV11165" s="11"/>
    </row>
    <row r="11166" spans="48:48">
      <c r="AV11166" s="11"/>
    </row>
    <row r="11167" spans="48:48">
      <c r="AV11167" s="11"/>
    </row>
    <row r="11168" spans="48:48">
      <c r="AV11168" s="11"/>
    </row>
    <row r="11169" spans="27:48">
      <c r="AV11169" s="11"/>
    </row>
    <row r="11170" spans="27:48">
      <c r="AV11170" s="11"/>
    </row>
    <row r="11171" spans="27:48">
      <c r="AV11171" s="11"/>
    </row>
    <row r="11172" spans="27:48">
      <c r="AV11172" s="11"/>
    </row>
    <row r="11173" spans="27:48">
      <c r="AV11173" s="11"/>
    </row>
    <row r="11174" spans="27:48">
      <c r="AV11174" s="11"/>
    </row>
    <row r="11175" spans="27:48">
      <c r="AV11175" s="11"/>
    </row>
    <row r="11176" spans="27:48">
      <c r="AV11176" s="11"/>
    </row>
    <row r="11177" spans="27:48">
      <c r="AA11177" s="4"/>
      <c r="AV11177" s="11"/>
    </row>
    <row r="11178" spans="27:48">
      <c r="AA11178" s="4"/>
      <c r="AV11178" s="11"/>
    </row>
    <row r="11179" spans="27:48">
      <c r="AV11179" s="11"/>
    </row>
    <row r="11180" spans="27:48">
      <c r="AV11180" s="11"/>
    </row>
    <row r="11181" spans="27:48">
      <c r="AV11181" s="11"/>
    </row>
    <row r="11182" spans="27:48">
      <c r="AV11182" s="11"/>
    </row>
    <row r="11183" spans="27:48">
      <c r="AV11183" s="11"/>
    </row>
    <row r="11184" spans="27:48">
      <c r="AV11184" s="11"/>
    </row>
    <row r="11185" spans="48:48">
      <c r="AV11185" s="11"/>
    </row>
    <row r="11186" spans="48:48">
      <c r="AV11186" s="11"/>
    </row>
    <row r="11187" spans="48:48">
      <c r="AV11187" s="11"/>
    </row>
    <row r="11188" spans="48:48">
      <c r="AV11188" s="11"/>
    </row>
    <row r="11189" spans="48:48">
      <c r="AV11189" s="11"/>
    </row>
    <row r="11190" spans="48:48">
      <c r="AV11190" s="11"/>
    </row>
    <row r="11191" spans="48:48">
      <c r="AV11191" s="11"/>
    </row>
    <row r="11192" spans="48:48">
      <c r="AV11192" s="11"/>
    </row>
    <row r="11193" spans="48:48">
      <c r="AV11193" s="11"/>
    </row>
    <row r="11194" spans="48:48">
      <c r="AV11194" s="11"/>
    </row>
    <row r="11195" spans="48:48">
      <c r="AV11195" s="11"/>
    </row>
    <row r="11196" spans="48:48">
      <c r="AV11196" s="11"/>
    </row>
    <row r="11197" spans="48:48">
      <c r="AV11197" s="11"/>
    </row>
    <row r="11198" spans="48:48">
      <c r="AV11198" s="11"/>
    </row>
    <row r="11199" spans="48:48">
      <c r="AV11199" s="11"/>
    </row>
    <row r="11200" spans="48:48">
      <c r="AV11200" s="11"/>
    </row>
    <row r="11201" spans="48:48">
      <c r="AV11201" s="11"/>
    </row>
    <row r="11202" spans="48:48">
      <c r="AV11202" s="11"/>
    </row>
    <row r="11203" spans="48:48">
      <c r="AV11203" s="11"/>
    </row>
    <row r="11204" spans="48:48">
      <c r="AV11204" s="11"/>
    </row>
    <row r="11205" spans="48:48">
      <c r="AV11205" s="11"/>
    </row>
    <row r="11206" spans="48:48">
      <c r="AV11206" s="11"/>
    </row>
    <row r="11207" spans="48:48">
      <c r="AV11207" s="11"/>
    </row>
    <row r="11208" spans="48:48">
      <c r="AV11208" s="11"/>
    </row>
    <row r="11209" spans="48:48">
      <c r="AV11209" s="11"/>
    </row>
    <row r="11210" spans="48:48">
      <c r="AV11210" s="11"/>
    </row>
    <row r="11211" spans="48:48">
      <c r="AV11211" s="11"/>
    </row>
    <row r="11212" spans="48:48">
      <c r="AV11212" s="11"/>
    </row>
    <row r="11213" spans="48:48">
      <c r="AV11213" s="11"/>
    </row>
    <row r="11214" spans="48:48">
      <c r="AV11214" s="11"/>
    </row>
    <row r="11215" spans="48:48">
      <c r="AV11215" s="11"/>
    </row>
    <row r="11216" spans="48:48">
      <c r="AV11216" s="11"/>
    </row>
    <row r="11217" spans="48:48">
      <c r="AV11217" s="11"/>
    </row>
    <row r="11218" spans="48:48">
      <c r="AV11218" s="11"/>
    </row>
    <row r="11219" spans="48:48">
      <c r="AV11219" s="11"/>
    </row>
    <row r="11220" spans="48:48">
      <c r="AV11220" s="11"/>
    </row>
    <row r="11221" spans="48:48">
      <c r="AV11221" s="11"/>
    </row>
    <row r="11222" spans="48:48">
      <c r="AV11222" s="11"/>
    </row>
    <row r="11223" spans="48:48">
      <c r="AV11223" s="11"/>
    </row>
    <row r="11224" spans="48:48">
      <c r="AV11224" s="11"/>
    </row>
    <row r="11225" spans="48:48">
      <c r="AV11225" s="11"/>
    </row>
    <row r="11226" spans="48:48">
      <c r="AV11226" s="11"/>
    </row>
    <row r="11227" spans="48:48">
      <c r="AV11227" s="11"/>
    </row>
    <row r="11228" spans="48:48">
      <c r="AV11228" s="11"/>
    </row>
    <row r="11229" spans="48:48">
      <c r="AV11229" s="11"/>
    </row>
    <row r="11230" spans="48:48">
      <c r="AV11230" s="11"/>
    </row>
    <row r="11231" spans="48:48">
      <c r="AV11231" s="11"/>
    </row>
    <row r="11232" spans="48:48">
      <c r="AV11232" s="11"/>
    </row>
    <row r="11233" spans="48:48">
      <c r="AV11233" s="11"/>
    </row>
    <row r="11234" spans="48:48">
      <c r="AV11234" s="11"/>
    </row>
    <row r="11235" spans="48:48">
      <c r="AV11235" s="11"/>
    </row>
    <row r="11236" spans="48:48">
      <c r="AV11236" s="11"/>
    </row>
    <row r="11237" spans="48:48">
      <c r="AV11237" s="11"/>
    </row>
    <row r="11238" spans="48:48">
      <c r="AV11238" s="11"/>
    </row>
    <row r="11239" spans="48:48">
      <c r="AV11239" s="11"/>
    </row>
    <row r="11240" spans="48:48">
      <c r="AV11240" s="11"/>
    </row>
    <row r="11241" spans="48:48">
      <c r="AV11241" s="11"/>
    </row>
    <row r="11242" spans="48:48">
      <c r="AV11242" s="11"/>
    </row>
    <row r="11243" spans="48:48">
      <c r="AV11243" s="11"/>
    </row>
    <row r="11244" spans="48:48">
      <c r="AV11244" s="11"/>
    </row>
    <row r="11245" spans="48:48">
      <c r="AV11245" s="11"/>
    </row>
    <row r="11246" spans="48:48">
      <c r="AV11246" s="11"/>
    </row>
    <row r="11247" spans="48:48">
      <c r="AV11247" s="11"/>
    </row>
    <row r="11248" spans="48:48">
      <c r="AV11248" s="11"/>
    </row>
    <row r="11249" spans="48:48">
      <c r="AV11249" s="11"/>
    </row>
    <row r="11250" spans="48:48">
      <c r="AV11250" s="11"/>
    </row>
    <row r="11251" spans="48:48">
      <c r="AV11251" s="11"/>
    </row>
    <row r="11252" spans="48:48">
      <c r="AV11252" s="11"/>
    </row>
    <row r="11253" spans="48:48">
      <c r="AV11253" s="11"/>
    </row>
    <row r="11254" spans="48:48">
      <c r="AV11254" s="11"/>
    </row>
    <row r="11255" spans="48:48">
      <c r="AV11255" s="11"/>
    </row>
    <row r="11256" spans="48:48">
      <c r="AV11256" s="11"/>
    </row>
    <row r="11257" spans="48:48">
      <c r="AV11257" s="11"/>
    </row>
    <row r="11258" spans="48:48">
      <c r="AV11258" s="11"/>
    </row>
    <row r="11259" spans="48:48">
      <c r="AV11259" s="11"/>
    </row>
    <row r="11260" spans="48:48">
      <c r="AV11260" s="11"/>
    </row>
    <row r="11261" spans="48:48">
      <c r="AV11261" s="11"/>
    </row>
    <row r="11262" spans="48:48">
      <c r="AV11262" s="11"/>
    </row>
    <row r="11263" spans="48:48">
      <c r="AV11263" s="11"/>
    </row>
    <row r="11264" spans="48:48">
      <c r="AV11264" s="11"/>
    </row>
    <row r="11265" spans="48:48">
      <c r="AV11265" s="11"/>
    </row>
    <row r="11266" spans="48:48">
      <c r="AV11266" s="11"/>
    </row>
    <row r="11267" spans="48:48">
      <c r="AV11267" s="11"/>
    </row>
    <row r="11268" spans="48:48">
      <c r="AV11268" s="11"/>
    </row>
    <row r="11269" spans="48:48">
      <c r="AV11269" s="11"/>
    </row>
    <row r="11270" spans="48:48">
      <c r="AV11270" s="11"/>
    </row>
    <row r="11271" spans="48:48">
      <c r="AV11271" s="11"/>
    </row>
    <row r="11272" spans="48:48">
      <c r="AV11272" s="11"/>
    </row>
    <row r="11273" spans="48:48">
      <c r="AV11273" s="11"/>
    </row>
    <row r="11274" spans="48:48">
      <c r="AV11274" s="11"/>
    </row>
    <row r="11275" spans="48:48">
      <c r="AV11275" s="11"/>
    </row>
    <row r="11276" spans="48:48">
      <c r="AV11276" s="11"/>
    </row>
    <row r="11277" spans="48:48">
      <c r="AV11277" s="11"/>
    </row>
    <row r="11278" spans="48:48">
      <c r="AV11278" s="11"/>
    </row>
    <row r="11279" spans="48:48">
      <c r="AV11279" s="11"/>
    </row>
    <row r="11280" spans="48:48">
      <c r="AV11280" s="11"/>
    </row>
    <row r="11281" spans="48:56">
      <c r="AV11281" s="11"/>
    </row>
    <row r="11282" spans="48:56">
      <c r="AV11282" s="11"/>
    </row>
    <row r="11283" spans="48:56">
      <c r="AV11283" s="11"/>
      <c r="BD11283" s="4"/>
    </row>
    <row r="11284" spans="48:56">
      <c r="AV11284" s="11"/>
    </row>
    <row r="11285" spans="48:56">
      <c r="AV11285" s="11"/>
    </row>
    <row r="11286" spans="48:56">
      <c r="AV11286" s="11"/>
    </row>
    <row r="11287" spans="48:56">
      <c r="AV11287" s="11"/>
    </row>
    <row r="11288" spans="48:56">
      <c r="AV11288" s="11"/>
    </row>
    <row r="11289" spans="48:56">
      <c r="AV11289" s="11"/>
    </row>
    <row r="11290" spans="48:56">
      <c r="AV11290" s="11"/>
    </row>
    <row r="11291" spans="48:56">
      <c r="AV11291" s="11"/>
    </row>
    <row r="11292" spans="48:56">
      <c r="AV11292" s="11"/>
    </row>
    <row r="11293" spans="48:56">
      <c r="AV11293" s="11"/>
    </row>
    <row r="11294" spans="48:56">
      <c r="AV11294" s="11"/>
    </row>
    <row r="11295" spans="48:56">
      <c r="AV11295" s="11"/>
    </row>
    <row r="11296" spans="48:56">
      <c r="AV11296" s="11"/>
    </row>
    <row r="11297" spans="48:48">
      <c r="AV11297" s="11"/>
    </row>
    <row r="11298" spans="48:48">
      <c r="AV11298" s="11"/>
    </row>
    <row r="11299" spans="48:48">
      <c r="AV11299" s="11"/>
    </row>
    <row r="11300" spans="48:48">
      <c r="AV11300" s="11"/>
    </row>
    <row r="11301" spans="48:48">
      <c r="AV11301" s="11"/>
    </row>
    <row r="11302" spans="48:48">
      <c r="AV11302" s="11"/>
    </row>
    <row r="11303" spans="48:48">
      <c r="AV11303" s="11"/>
    </row>
    <row r="11304" spans="48:48">
      <c r="AV11304" s="11"/>
    </row>
    <row r="11305" spans="48:48">
      <c r="AV11305" s="11"/>
    </row>
    <row r="11306" spans="48:48">
      <c r="AV11306" s="11"/>
    </row>
    <row r="11307" spans="48:48">
      <c r="AV11307" s="11"/>
    </row>
    <row r="11308" spans="48:48">
      <c r="AV11308" s="11"/>
    </row>
    <row r="11309" spans="48:48">
      <c r="AV11309" s="11"/>
    </row>
    <row r="11310" spans="48:48">
      <c r="AV11310" s="11"/>
    </row>
    <row r="11311" spans="48:48">
      <c r="AV11311" s="11"/>
    </row>
    <row r="11312" spans="48:48">
      <c r="AV11312" s="11"/>
    </row>
    <row r="11313" spans="48:48">
      <c r="AV11313" s="11"/>
    </row>
    <row r="11314" spans="48:48">
      <c r="AV11314" s="11"/>
    </row>
    <row r="11315" spans="48:48">
      <c r="AV11315" s="11"/>
    </row>
    <row r="11316" spans="48:48">
      <c r="AV11316" s="11"/>
    </row>
    <row r="11317" spans="48:48">
      <c r="AV11317" s="11"/>
    </row>
    <row r="11318" spans="48:48">
      <c r="AV11318" s="11"/>
    </row>
    <row r="11319" spans="48:48">
      <c r="AV11319" s="11"/>
    </row>
    <row r="11320" spans="48:48">
      <c r="AV11320" s="11"/>
    </row>
    <row r="11321" spans="48:48">
      <c r="AV11321" s="11"/>
    </row>
    <row r="11322" spans="48:48">
      <c r="AV11322" s="11"/>
    </row>
    <row r="11323" spans="48:48">
      <c r="AV11323" s="11"/>
    </row>
    <row r="11324" spans="48:48">
      <c r="AV11324" s="11"/>
    </row>
    <row r="11325" spans="48:48">
      <c r="AV11325" s="11"/>
    </row>
    <row r="11326" spans="48:48">
      <c r="AV11326" s="11"/>
    </row>
    <row r="11327" spans="48:48">
      <c r="AV11327" s="11"/>
    </row>
    <row r="11328" spans="48:48">
      <c r="AV11328" s="11"/>
    </row>
    <row r="11329" spans="48:48">
      <c r="AV11329" s="11"/>
    </row>
    <row r="11330" spans="48:48">
      <c r="AV11330" s="11"/>
    </row>
    <row r="11331" spans="48:48">
      <c r="AV11331" s="11"/>
    </row>
    <row r="11332" spans="48:48">
      <c r="AV11332" s="11"/>
    </row>
    <row r="11333" spans="48:48">
      <c r="AV11333" s="11"/>
    </row>
    <row r="11334" spans="48:48">
      <c r="AV11334" s="11"/>
    </row>
    <row r="11335" spans="48:48">
      <c r="AV11335" s="11"/>
    </row>
    <row r="11336" spans="48:48">
      <c r="AV11336" s="11"/>
    </row>
    <row r="11337" spans="48:48">
      <c r="AV11337" s="11"/>
    </row>
    <row r="11338" spans="48:48">
      <c r="AV11338" s="11"/>
    </row>
    <row r="11339" spans="48:48">
      <c r="AV11339" s="11"/>
    </row>
    <row r="11340" spans="48:48">
      <c r="AV11340" s="11"/>
    </row>
    <row r="11341" spans="48:48">
      <c r="AV11341" s="11"/>
    </row>
    <row r="11342" spans="48:48">
      <c r="AV11342" s="11"/>
    </row>
    <row r="11343" spans="48:48">
      <c r="AV11343" s="11"/>
    </row>
    <row r="11344" spans="48:48">
      <c r="AV11344" s="11"/>
    </row>
    <row r="11345" spans="48:48">
      <c r="AV11345" s="11"/>
    </row>
    <row r="11346" spans="48:48">
      <c r="AV11346" s="11"/>
    </row>
    <row r="11347" spans="48:48">
      <c r="AV11347" s="11"/>
    </row>
    <row r="11348" spans="48:48">
      <c r="AV11348" s="11"/>
    </row>
    <row r="11349" spans="48:48">
      <c r="AV11349" s="11"/>
    </row>
    <row r="11350" spans="48:48">
      <c r="AV11350" s="11"/>
    </row>
    <row r="11351" spans="48:48">
      <c r="AV11351" s="11"/>
    </row>
    <row r="11352" spans="48:48">
      <c r="AV11352" s="11"/>
    </row>
    <row r="11353" spans="48:48">
      <c r="AV11353" s="11"/>
    </row>
    <row r="11354" spans="48:48">
      <c r="AV11354" s="11"/>
    </row>
    <row r="11355" spans="48:48">
      <c r="AV11355" s="11"/>
    </row>
    <row r="11356" spans="48:48">
      <c r="AV11356" s="11"/>
    </row>
    <row r="11357" spans="48:48">
      <c r="AV11357" s="11"/>
    </row>
    <row r="11358" spans="48:48">
      <c r="AV11358" s="11"/>
    </row>
    <row r="11359" spans="48:48">
      <c r="AV11359" s="11"/>
    </row>
    <row r="11360" spans="48:48">
      <c r="AV11360" s="11"/>
    </row>
    <row r="11361" spans="48:48">
      <c r="AV11361" s="11"/>
    </row>
    <row r="11362" spans="48:48">
      <c r="AV11362" s="11"/>
    </row>
    <row r="11363" spans="48:48">
      <c r="AV11363" s="11"/>
    </row>
    <row r="11364" spans="48:48">
      <c r="AV11364" s="11"/>
    </row>
    <row r="11365" spans="48:48">
      <c r="AV11365" s="11"/>
    </row>
    <row r="11366" spans="48:48">
      <c r="AV11366" s="11"/>
    </row>
    <row r="11367" spans="48:48">
      <c r="AV11367" s="11"/>
    </row>
    <row r="11368" spans="48:48">
      <c r="AV11368" s="11"/>
    </row>
    <row r="11369" spans="48:48">
      <c r="AV11369" s="11"/>
    </row>
    <row r="11370" spans="48:48">
      <c r="AV11370" s="11"/>
    </row>
    <row r="11371" spans="48:48">
      <c r="AV11371" s="11"/>
    </row>
    <row r="11372" spans="48:48">
      <c r="AV11372" s="11"/>
    </row>
    <row r="11373" spans="48:48">
      <c r="AV11373" s="11"/>
    </row>
    <row r="11374" spans="48:48">
      <c r="AV11374" s="11"/>
    </row>
    <row r="11375" spans="48:48">
      <c r="AV11375" s="11"/>
    </row>
    <row r="11376" spans="48:48">
      <c r="AV11376" s="11"/>
    </row>
    <row r="11377" spans="48:48">
      <c r="AV11377" s="11"/>
    </row>
    <row r="11378" spans="48:48">
      <c r="AV11378" s="11"/>
    </row>
    <row r="11379" spans="48:48">
      <c r="AV11379" s="11"/>
    </row>
    <row r="11380" spans="48:48">
      <c r="AV11380" s="11"/>
    </row>
    <row r="11381" spans="48:48">
      <c r="AV11381" s="11"/>
    </row>
    <row r="11382" spans="48:48">
      <c r="AV11382" s="11"/>
    </row>
    <row r="11383" spans="48:48">
      <c r="AV11383" s="11"/>
    </row>
    <row r="11384" spans="48:48">
      <c r="AV11384" s="11"/>
    </row>
    <row r="11385" spans="48:48">
      <c r="AV11385" s="11"/>
    </row>
    <row r="11386" spans="48:48">
      <c r="AV11386" s="11"/>
    </row>
    <row r="11387" spans="48:48">
      <c r="AV11387" s="11"/>
    </row>
    <row r="11388" spans="48:48">
      <c r="AV11388" s="11"/>
    </row>
    <row r="11389" spans="48:48">
      <c r="AV11389" s="11"/>
    </row>
    <row r="11390" spans="48:48">
      <c r="AV11390" s="11"/>
    </row>
    <row r="11391" spans="48:48">
      <c r="AV11391" s="11"/>
    </row>
    <row r="11392" spans="48:48">
      <c r="AV11392" s="11"/>
    </row>
    <row r="11393" spans="48:48">
      <c r="AV11393" s="11"/>
    </row>
    <row r="11394" spans="48:48">
      <c r="AV11394" s="11"/>
    </row>
    <row r="11395" spans="48:48">
      <c r="AV11395" s="11"/>
    </row>
    <row r="11396" spans="48:48">
      <c r="AV11396" s="11"/>
    </row>
    <row r="11397" spans="48:48">
      <c r="AV11397" s="11"/>
    </row>
    <row r="11398" spans="48:48">
      <c r="AV11398" s="11"/>
    </row>
    <row r="11399" spans="48:48">
      <c r="AV11399" s="11"/>
    </row>
    <row r="11400" spans="48:48">
      <c r="AV11400" s="11"/>
    </row>
    <row r="11401" spans="48:48">
      <c r="AV11401" s="11"/>
    </row>
    <row r="11402" spans="48:48">
      <c r="AV11402" s="11"/>
    </row>
    <row r="11403" spans="48:48">
      <c r="AV11403" s="11"/>
    </row>
    <row r="11404" spans="48:48">
      <c r="AV11404" s="11"/>
    </row>
    <row r="11405" spans="48:48">
      <c r="AV11405" s="11"/>
    </row>
    <row r="11406" spans="48:48">
      <c r="AV11406" s="11"/>
    </row>
    <row r="11407" spans="48:48">
      <c r="AV11407" s="11"/>
    </row>
    <row r="11408" spans="48:48">
      <c r="AV11408" s="11"/>
    </row>
    <row r="11409" spans="48:56">
      <c r="AV11409" s="11"/>
    </row>
    <row r="11410" spans="48:56">
      <c r="AV11410" s="11"/>
    </row>
    <row r="11411" spans="48:56">
      <c r="AV11411" s="11"/>
    </row>
    <row r="11412" spans="48:56">
      <c r="AV11412" s="11"/>
    </row>
    <row r="11413" spans="48:56">
      <c r="AV11413" s="11"/>
    </row>
    <row r="11414" spans="48:56">
      <c r="AV11414" s="11"/>
    </row>
    <row r="11415" spans="48:56">
      <c r="AV11415" s="11"/>
    </row>
    <row r="11416" spans="48:56">
      <c r="AV11416" s="11"/>
    </row>
    <row r="11417" spans="48:56">
      <c r="AV11417" s="11"/>
    </row>
    <row r="11418" spans="48:56">
      <c r="AV11418" s="11"/>
    </row>
    <row r="11419" spans="48:56">
      <c r="AV11419" s="11"/>
    </row>
    <row r="11420" spans="48:56">
      <c r="AV11420" s="11"/>
    </row>
    <row r="11421" spans="48:56">
      <c r="AV11421" s="11"/>
    </row>
    <row r="11422" spans="48:56">
      <c r="AV11422" s="11"/>
    </row>
    <row r="11423" spans="48:56">
      <c r="AV11423" s="11"/>
    </row>
    <row r="11424" spans="48:56">
      <c r="AV11424" s="11"/>
      <c r="BD11424" s="4"/>
    </row>
    <row r="11425" spans="48:48">
      <c r="AV11425" s="11"/>
    </row>
    <row r="11426" spans="48:48">
      <c r="AV11426" s="11"/>
    </row>
    <row r="11427" spans="48:48">
      <c r="AV11427" s="11"/>
    </row>
    <row r="11428" spans="48:48">
      <c r="AV11428" s="11"/>
    </row>
    <row r="11429" spans="48:48">
      <c r="AV11429" s="11"/>
    </row>
    <row r="11430" spans="48:48">
      <c r="AV11430" s="11"/>
    </row>
    <row r="11431" spans="48:48">
      <c r="AV11431" s="11"/>
    </row>
    <row r="11432" spans="48:48">
      <c r="AV11432" s="11"/>
    </row>
    <row r="11433" spans="48:48">
      <c r="AV11433" s="11"/>
    </row>
    <row r="11434" spans="48:48">
      <c r="AV11434" s="11"/>
    </row>
    <row r="11435" spans="48:48">
      <c r="AV11435" s="11"/>
    </row>
    <row r="11436" spans="48:48">
      <c r="AV11436" s="11"/>
    </row>
    <row r="11437" spans="48:48">
      <c r="AV11437" s="11"/>
    </row>
    <row r="11438" spans="48:48">
      <c r="AV11438" s="11"/>
    </row>
    <row r="11439" spans="48:48">
      <c r="AV11439" s="11"/>
    </row>
    <row r="11440" spans="48:48">
      <c r="AV11440" s="11"/>
    </row>
    <row r="11441" spans="48:48">
      <c r="AV11441" s="11"/>
    </row>
    <row r="11442" spans="48:48">
      <c r="AV11442" s="11"/>
    </row>
    <row r="11443" spans="48:48">
      <c r="AV11443" s="11"/>
    </row>
    <row r="11444" spans="48:48">
      <c r="AV11444" s="11"/>
    </row>
    <row r="11445" spans="48:48">
      <c r="AV11445" s="11"/>
    </row>
    <row r="11446" spans="48:48">
      <c r="AV11446" s="11"/>
    </row>
    <row r="11447" spans="48:48">
      <c r="AV11447" s="11"/>
    </row>
    <row r="11448" spans="48:48">
      <c r="AV11448" s="11"/>
    </row>
    <row r="11449" spans="48:48">
      <c r="AV11449" s="11"/>
    </row>
    <row r="11450" spans="48:48">
      <c r="AV11450" s="11"/>
    </row>
    <row r="11451" spans="48:48">
      <c r="AV11451" s="11"/>
    </row>
    <row r="11452" spans="48:48">
      <c r="AV11452" s="11"/>
    </row>
    <row r="11453" spans="48:48">
      <c r="AV11453" s="11"/>
    </row>
    <row r="11454" spans="48:48">
      <c r="AV11454" s="11"/>
    </row>
    <row r="11455" spans="48:48">
      <c r="AV11455" s="11"/>
    </row>
    <row r="11456" spans="48:48">
      <c r="AV11456" s="11"/>
    </row>
    <row r="11457" spans="48:48">
      <c r="AV11457" s="11"/>
    </row>
    <row r="11458" spans="48:48">
      <c r="AV11458" s="11"/>
    </row>
    <row r="11459" spans="48:48">
      <c r="AV11459" s="11"/>
    </row>
    <row r="11460" spans="48:48">
      <c r="AV11460" s="11"/>
    </row>
    <row r="11461" spans="48:48">
      <c r="AV11461" s="11"/>
    </row>
    <row r="11462" spans="48:48">
      <c r="AV11462" s="11"/>
    </row>
    <row r="11463" spans="48:48">
      <c r="AV11463" s="11"/>
    </row>
    <row r="11464" spans="48:48">
      <c r="AV11464" s="11"/>
    </row>
    <row r="11465" spans="48:48">
      <c r="AV11465" s="11"/>
    </row>
    <row r="11466" spans="48:48">
      <c r="AV11466" s="11"/>
    </row>
    <row r="11467" spans="48:48">
      <c r="AV11467" s="11"/>
    </row>
    <row r="11468" spans="48:48">
      <c r="AV11468" s="11"/>
    </row>
    <row r="11469" spans="48:48">
      <c r="AV11469" s="11"/>
    </row>
    <row r="11470" spans="48:48">
      <c r="AV11470" s="11"/>
    </row>
    <row r="11471" spans="48:48">
      <c r="AV11471" s="11"/>
    </row>
    <row r="11472" spans="48:48">
      <c r="AV11472" s="11"/>
    </row>
    <row r="11473" spans="27:48">
      <c r="AV11473" s="11"/>
    </row>
    <row r="11474" spans="27:48">
      <c r="AV11474" s="11"/>
    </row>
    <row r="11475" spans="27:48">
      <c r="AV11475" s="11"/>
    </row>
    <row r="11476" spans="27:48">
      <c r="AV11476" s="11"/>
    </row>
    <row r="11477" spans="27:48">
      <c r="AA11477" s="4"/>
      <c r="AV11477" s="11"/>
    </row>
    <row r="11478" spans="27:48">
      <c r="AA11478" s="4"/>
      <c r="AV11478" s="11"/>
    </row>
    <row r="11479" spans="27:48">
      <c r="AA11479" s="4"/>
      <c r="AV11479" s="11"/>
    </row>
    <row r="11480" spans="27:48">
      <c r="AA11480" s="4"/>
      <c r="AV11480" s="11"/>
    </row>
    <row r="11481" spans="27:48">
      <c r="AA11481" s="4"/>
      <c r="AV11481" s="11"/>
    </row>
    <row r="11482" spans="27:48">
      <c r="AA11482" s="4"/>
      <c r="AV11482" s="11"/>
    </row>
    <row r="11483" spans="27:48">
      <c r="AA11483" s="4"/>
      <c r="AV11483" s="11"/>
    </row>
    <row r="11484" spans="27:48">
      <c r="AA11484" s="4"/>
      <c r="AV11484" s="11"/>
    </row>
    <row r="11485" spans="27:48">
      <c r="AA11485" s="4"/>
      <c r="AV11485" s="11"/>
    </row>
    <row r="11486" spans="27:48">
      <c r="AA11486" s="4"/>
      <c r="AV11486" s="11"/>
    </row>
    <row r="11487" spans="27:48">
      <c r="AA11487" s="4"/>
      <c r="AV11487" s="11"/>
    </row>
    <row r="11488" spans="27:48">
      <c r="AA11488" s="4"/>
      <c r="AV11488" s="11"/>
    </row>
    <row r="11489" spans="27:48">
      <c r="AA11489" s="4"/>
      <c r="AV11489" s="11"/>
    </row>
    <row r="11490" spans="27:48">
      <c r="AA11490" s="4"/>
      <c r="AV11490" s="11"/>
    </row>
    <row r="11491" spans="27:48">
      <c r="AA11491" s="4"/>
      <c r="AV11491" s="11"/>
    </row>
    <row r="11492" spans="27:48">
      <c r="AA11492" s="4"/>
      <c r="AV11492" s="11"/>
    </row>
    <row r="11493" spans="27:48">
      <c r="AA11493" s="4"/>
      <c r="AV11493" s="11"/>
    </row>
    <row r="11494" spans="27:48">
      <c r="AA11494" s="4"/>
      <c r="AV11494" s="11"/>
    </row>
    <row r="11495" spans="27:48">
      <c r="AA11495" s="4"/>
      <c r="AV11495" s="11"/>
    </row>
    <row r="11496" spans="27:48">
      <c r="AA11496" s="4"/>
      <c r="AV11496" s="11"/>
    </row>
    <row r="11497" spans="27:48">
      <c r="AA11497" s="4"/>
      <c r="AV11497" s="11"/>
    </row>
    <row r="11498" spans="27:48">
      <c r="AA11498" s="4"/>
      <c r="AV11498" s="11"/>
    </row>
    <row r="11499" spans="27:48">
      <c r="AA11499" s="4"/>
      <c r="AV11499" s="11"/>
    </row>
    <row r="11500" spans="27:48">
      <c r="AA11500" s="4"/>
      <c r="AV11500" s="11"/>
    </row>
    <row r="11501" spans="27:48">
      <c r="AA11501" s="4"/>
      <c r="AV11501" s="11"/>
    </row>
    <row r="11502" spans="27:48">
      <c r="AA11502" s="4"/>
      <c r="AV11502" s="11"/>
    </row>
    <row r="11503" spans="27:48">
      <c r="AA11503" s="4"/>
      <c r="AV11503" s="11"/>
    </row>
    <row r="11504" spans="27:48">
      <c r="AA11504" s="4"/>
      <c r="AV11504" s="11"/>
    </row>
    <row r="11505" spans="27:56">
      <c r="AA11505" s="4"/>
      <c r="AV11505" s="11"/>
    </row>
    <row r="11506" spans="27:56">
      <c r="AA11506" s="4"/>
      <c r="AV11506" s="11"/>
    </row>
    <row r="11507" spans="27:56">
      <c r="AA11507" s="4"/>
      <c r="AV11507" s="11"/>
    </row>
    <row r="11508" spans="27:56">
      <c r="AA11508" s="4"/>
      <c r="AV11508" s="11"/>
      <c r="BD11508" s="4"/>
    </row>
    <row r="11509" spans="27:56">
      <c r="AA11509" s="4"/>
      <c r="AV11509" s="11"/>
    </row>
    <row r="11510" spans="27:56">
      <c r="AV11510" s="11"/>
    </row>
    <row r="11511" spans="27:56">
      <c r="AV11511" s="11"/>
    </row>
    <row r="11512" spans="27:56">
      <c r="AV11512" s="11"/>
    </row>
    <row r="11513" spans="27:56">
      <c r="AV11513" s="11"/>
    </row>
    <row r="11514" spans="27:56">
      <c r="AV11514" s="11"/>
    </row>
    <row r="11515" spans="27:56">
      <c r="AV11515" s="11"/>
    </row>
    <row r="11516" spans="27:56">
      <c r="AV11516" s="11"/>
    </row>
    <row r="11517" spans="27:56">
      <c r="AV11517" s="11"/>
    </row>
    <row r="11518" spans="27:56">
      <c r="AV11518" s="11"/>
    </row>
    <row r="11519" spans="27:56">
      <c r="AV11519" s="11"/>
    </row>
    <row r="11520" spans="27:56">
      <c r="AV11520" s="11"/>
    </row>
    <row r="11521" spans="48:48">
      <c r="AV11521" s="11"/>
    </row>
    <row r="11522" spans="48:48">
      <c r="AV11522" s="11"/>
    </row>
    <row r="11523" spans="48:48">
      <c r="AV11523" s="11"/>
    </row>
    <row r="11524" spans="48:48">
      <c r="AV11524" s="11"/>
    </row>
    <row r="11525" spans="48:48">
      <c r="AV11525" s="11"/>
    </row>
    <row r="11526" spans="48:48">
      <c r="AV11526" s="11"/>
    </row>
    <row r="11527" spans="48:48">
      <c r="AV11527" s="11"/>
    </row>
    <row r="11528" spans="48:48">
      <c r="AV11528" s="11"/>
    </row>
    <row r="11529" spans="48:48">
      <c r="AV11529" s="11"/>
    </row>
    <row r="11530" spans="48:48">
      <c r="AV11530" s="11"/>
    </row>
    <row r="11531" spans="48:48">
      <c r="AV11531" s="11"/>
    </row>
    <row r="11532" spans="48:48">
      <c r="AV11532" s="11"/>
    </row>
    <row r="11533" spans="48:48">
      <c r="AV11533" s="11"/>
    </row>
    <row r="11534" spans="48:48">
      <c r="AV11534" s="11"/>
    </row>
    <row r="11535" spans="48:48">
      <c r="AV11535" s="11"/>
    </row>
    <row r="11536" spans="48:48">
      <c r="AV11536" s="11"/>
    </row>
    <row r="11537" spans="27:48">
      <c r="AV11537" s="11"/>
    </row>
    <row r="11538" spans="27:48">
      <c r="AV11538" s="11"/>
    </row>
    <row r="11539" spans="27:48">
      <c r="AV11539" s="11"/>
    </row>
    <row r="11540" spans="27:48">
      <c r="AA11540" s="4"/>
      <c r="AV11540" s="11"/>
    </row>
    <row r="11541" spans="27:48">
      <c r="AA11541" s="4"/>
    </row>
    <row r="11542" spans="27:48">
      <c r="AA11542" s="4"/>
    </row>
    <row r="11543" spans="27:48">
      <c r="AA11543" s="4"/>
    </row>
    <row r="11544" spans="27:48">
      <c r="AA11544" s="4"/>
    </row>
    <row r="11545" spans="27:48">
      <c r="AA11545" s="4"/>
    </row>
    <row r="11546" spans="27:48">
      <c r="AA11546" s="4"/>
    </row>
    <row r="11547" spans="27:48">
      <c r="AA11547" s="4"/>
    </row>
    <row r="11548" spans="27:48">
      <c r="AA11548" s="4"/>
    </row>
    <row r="11549" spans="27:48">
      <c r="AA11549" s="4"/>
      <c r="AV11549" s="11"/>
    </row>
    <row r="11550" spans="27:48">
      <c r="AA11550" s="4"/>
      <c r="AV11550" s="11"/>
    </row>
    <row r="11551" spans="27:48">
      <c r="AA11551" s="4"/>
      <c r="AV11551" s="11"/>
    </row>
    <row r="11552" spans="27:48">
      <c r="AA11552" s="4"/>
      <c r="AV11552" s="11"/>
    </row>
    <row r="11553" spans="27:48">
      <c r="AA11553" s="4"/>
      <c r="AV11553" s="11"/>
    </row>
    <row r="11554" spans="27:48">
      <c r="AA11554" s="4"/>
      <c r="AV11554" s="11"/>
    </row>
    <row r="11555" spans="27:48">
      <c r="AA11555" s="4"/>
      <c r="AV11555" s="11"/>
    </row>
    <row r="11556" spans="27:48">
      <c r="AA11556" s="4"/>
      <c r="AV11556" s="11"/>
    </row>
    <row r="11557" spans="27:48">
      <c r="AA11557" s="4"/>
      <c r="AV11557" s="11"/>
    </row>
    <row r="11558" spans="27:48">
      <c r="AA11558" s="4"/>
      <c r="AV11558" s="11"/>
    </row>
    <row r="11559" spans="27:48">
      <c r="AA11559" s="4"/>
      <c r="AV11559" s="11"/>
    </row>
    <row r="11560" spans="27:48">
      <c r="AA11560" s="4"/>
      <c r="AV11560" s="11"/>
    </row>
    <row r="11561" spans="27:48">
      <c r="AA11561" s="4"/>
      <c r="AV11561" s="11"/>
    </row>
    <row r="11562" spans="27:48">
      <c r="AA11562" s="4"/>
      <c r="AV11562" s="11"/>
    </row>
    <row r="11563" spans="27:48">
      <c r="AA11563" s="4"/>
      <c r="AV11563" s="11"/>
    </row>
    <row r="11564" spans="27:48">
      <c r="AA11564" s="4"/>
      <c r="AV11564" s="11"/>
    </row>
    <row r="11565" spans="27:48">
      <c r="AA11565" s="4"/>
      <c r="AV11565" s="11"/>
    </row>
    <row r="11566" spans="27:48">
      <c r="AA11566" s="4"/>
      <c r="AV11566" s="11"/>
    </row>
    <row r="11567" spans="27:48">
      <c r="AA11567" s="4"/>
      <c r="AV11567" s="11"/>
    </row>
    <row r="11568" spans="27:48">
      <c r="AA11568" s="4"/>
      <c r="AV11568" s="11"/>
    </row>
    <row r="11569" spans="27:48">
      <c r="AA11569" s="4"/>
      <c r="AV11569" s="11"/>
    </row>
    <row r="11570" spans="27:48">
      <c r="AA11570" s="4"/>
      <c r="AV11570" s="11"/>
    </row>
    <row r="11571" spans="27:48">
      <c r="AA11571" s="4"/>
      <c r="AV11571" s="11"/>
    </row>
    <row r="11572" spans="27:48">
      <c r="AA11572" s="4"/>
      <c r="AV11572" s="11"/>
    </row>
    <row r="11573" spans="27:48">
      <c r="AA11573" s="4"/>
      <c r="AV11573" s="11"/>
    </row>
    <row r="11574" spans="27:48">
      <c r="AA11574" s="4"/>
      <c r="AV11574" s="11"/>
    </row>
    <row r="11575" spans="27:48">
      <c r="AA11575" s="4"/>
      <c r="AV11575" s="11"/>
    </row>
    <row r="11576" spans="27:48">
      <c r="AA11576" s="4"/>
      <c r="AV11576" s="11"/>
    </row>
    <row r="11577" spans="27:48">
      <c r="AA11577" s="4"/>
      <c r="AV11577" s="11"/>
    </row>
    <row r="11578" spans="27:48">
      <c r="AA11578" s="4"/>
      <c r="AV11578" s="11"/>
    </row>
    <row r="11579" spans="27:48">
      <c r="AA11579" s="4"/>
      <c r="AV11579" s="11"/>
    </row>
    <row r="11580" spans="27:48">
      <c r="AA11580" s="4"/>
      <c r="AV11580" s="11"/>
    </row>
    <row r="11581" spans="27:48">
      <c r="AA11581" s="4"/>
      <c r="AV11581" s="11"/>
    </row>
    <row r="11582" spans="27:48">
      <c r="AA11582" s="4"/>
      <c r="AV11582" s="11"/>
    </row>
    <row r="11583" spans="27:48">
      <c r="AA11583" s="4"/>
      <c r="AV11583" s="11"/>
    </row>
    <row r="11584" spans="27:48">
      <c r="AA11584" s="4"/>
      <c r="AV11584" s="11"/>
    </row>
    <row r="11585" spans="27:56">
      <c r="AA11585" s="4"/>
      <c r="AV11585" s="11"/>
    </row>
    <row r="11586" spans="27:56">
      <c r="AA11586" s="4"/>
      <c r="AV11586" s="11"/>
    </row>
    <row r="11587" spans="27:56">
      <c r="AA11587" s="4"/>
      <c r="AV11587" s="11"/>
    </row>
    <row r="11588" spans="27:56">
      <c r="AA11588" s="4"/>
      <c r="AV11588" s="11"/>
    </row>
    <row r="11589" spans="27:56">
      <c r="AA11589" s="4"/>
      <c r="AV11589" s="11"/>
    </row>
    <row r="11590" spans="27:56">
      <c r="AA11590" s="4"/>
      <c r="AV11590" s="11"/>
    </row>
    <row r="11591" spans="27:56">
      <c r="AA11591" s="4"/>
      <c r="AV11591" s="11"/>
    </row>
    <row r="11592" spans="27:56">
      <c r="AA11592" s="4"/>
      <c r="AV11592" s="11"/>
    </row>
    <row r="11593" spans="27:56">
      <c r="AA11593" s="4"/>
      <c r="AV11593" s="11"/>
    </row>
    <row r="11594" spans="27:56">
      <c r="AA11594" s="4"/>
      <c r="AV11594" s="11"/>
    </row>
    <row r="11595" spans="27:56">
      <c r="AA11595" s="4"/>
      <c r="AV11595" s="11"/>
    </row>
    <row r="11596" spans="27:56">
      <c r="AA11596" s="4"/>
      <c r="AV11596" s="11"/>
    </row>
    <row r="11597" spans="27:56">
      <c r="AA11597" s="4"/>
      <c r="AV11597" s="11"/>
      <c r="BD11597" s="4"/>
    </row>
    <row r="11598" spans="27:56">
      <c r="AA11598" s="4"/>
      <c r="AV11598" s="11"/>
    </row>
    <row r="11599" spans="27:56">
      <c r="AA11599" s="4"/>
      <c r="AV11599" s="11"/>
    </row>
    <row r="11600" spans="27:56">
      <c r="AA11600" s="4"/>
      <c r="AV11600" s="11"/>
    </row>
    <row r="11601" spans="27:56">
      <c r="AA11601" s="4"/>
      <c r="AV11601" s="11"/>
      <c r="BD11601" s="4"/>
    </row>
    <row r="11602" spans="27:56">
      <c r="AA11602" s="4"/>
      <c r="AV11602" s="11"/>
    </row>
    <row r="11603" spans="27:56">
      <c r="AA11603" s="4"/>
      <c r="AV11603" s="11"/>
    </row>
    <row r="11604" spans="27:56">
      <c r="AA11604" s="4"/>
    </row>
    <row r="11605" spans="27:56">
      <c r="AA11605" s="4"/>
    </row>
    <row r="11606" spans="27:56">
      <c r="AA11606" s="4"/>
    </row>
    <row r="11607" spans="27:56">
      <c r="AA11607" s="4"/>
    </row>
    <row r="11608" spans="27:56">
      <c r="AA11608" s="4"/>
    </row>
    <row r="11609" spans="27:56">
      <c r="AA11609" s="4"/>
    </row>
    <row r="11610" spans="27:56">
      <c r="AA11610" s="4"/>
    </row>
    <row r="11611" spans="27:56">
      <c r="AA11611" s="4"/>
    </row>
    <row r="11612" spans="27:56">
      <c r="AA11612" s="4"/>
    </row>
    <row r="11613" spans="27:56">
      <c r="AA11613" s="4"/>
    </row>
    <row r="11614" spans="27:56">
      <c r="AA11614" s="4"/>
    </row>
    <row r="11615" spans="27:56">
      <c r="AA11615" s="4"/>
    </row>
    <row r="11616" spans="27:56">
      <c r="AA11616" s="4"/>
    </row>
    <row r="11617" spans="27:27">
      <c r="AA11617" s="4"/>
    </row>
    <row r="11618" spans="27:27">
      <c r="AA11618" s="4"/>
    </row>
    <row r="11619" spans="27:27">
      <c r="AA11619" s="4"/>
    </row>
    <row r="11620" spans="27:27">
      <c r="AA11620" s="4"/>
    </row>
    <row r="11621" spans="27:27">
      <c r="AA11621" s="4"/>
    </row>
    <row r="11622" spans="27:27">
      <c r="AA11622" s="4"/>
    </row>
    <row r="11623" spans="27:27">
      <c r="AA11623" s="4"/>
    </row>
    <row r="11624" spans="27:27">
      <c r="AA11624" s="4"/>
    </row>
    <row r="11625" spans="27:27">
      <c r="AA11625" s="4"/>
    </row>
    <row r="11626" spans="27:27">
      <c r="AA11626" s="4"/>
    </row>
    <row r="11627" spans="27:27">
      <c r="AA11627" s="4"/>
    </row>
    <row r="11628" spans="27:27">
      <c r="AA11628" s="4"/>
    </row>
    <row r="11629" spans="27:27">
      <c r="AA11629" s="4"/>
    </row>
    <row r="11630" spans="27:27">
      <c r="AA11630" s="4"/>
    </row>
    <row r="11631" spans="27:27">
      <c r="AA11631" s="4"/>
    </row>
    <row r="11632" spans="27:27">
      <c r="AA11632" s="4"/>
    </row>
    <row r="11633" spans="27:27">
      <c r="AA11633" s="4"/>
    </row>
    <row r="11634" spans="27:27">
      <c r="AA11634" s="4"/>
    </row>
    <row r="11635" spans="27:27">
      <c r="AA11635" s="4"/>
    </row>
    <row r="11636" spans="27:27">
      <c r="AA11636" s="4"/>
    </row>
    <row r="11637" spans="27:27">
      <c r="AA11637" s="4"/>
    </row>
    <row r="11638" spans="27:27">
      <c r="AA11638" s="4"/>
    </row>
    <row r="11639" spans="27:27">
      <c r="AA11639" s="4"/>
    </row>
    <row r="11640" spans="27:27">
      <c r="AA11640" s="4"/>
    </row>
    <row r="11641" spans="27:27">
      <c r="AA11641" s="4"/>
    </row>
    <row r="11642" spans="27:27">
      <c r="AA11642" s="4"/>
    </row>
    <row r="11643" spans="27:27">
      <c r="AA11643" s="4"/>
    </row>
    <row r="11644" spans="27:27">
      <c r="AA11644" s="4"/>
    </row>
    <row r="11645" spans="27:27">
      <c r="AA11645" s="4"/>
    </row>
    <row r="11646" spans="27:27">
      <c r="AA11646" s="4"/>
    </row>
    <row r="11647" spans="27:27">
      <c r="AA11647" s="4"/>
    </row>
    <row r="11648" spans="27:27">
      <c r="AA11648" s="4"/>
    </row>
    <row r="11649" spans="27:27">
      <c r="AA11649" s="4"/>
    </row>
    <row r="11650" spans="27:27">
      <c r="AA11650" s="4"/>
    </row>
    <row r="11651" spans="27:27">
      <c r="AA11651" s="4"/>
    </row>
    <row r="11652" spans="27:27">
      <c r="AA11652" s="4"/>
    </row>
    <row r="11653" spans="27:27">
      <c r="AA11653" s="4"/>
    </row>
    <row r="11654" spans="27:27">
      <c r="AA11654" s="4"/>
    </row>
    <row r="11655" spans="27:27">
      <c r="AA11655" s="4"/>
    </row>
    <row r="11656" spans="27:27">
      <c r="AA11656" s="4"/>
    </row>
    <row r="11657" spans="27:27">
      <c r="AA11657" s="4"/>
    </row>
    <row r="11658" spans="27:27">
      <c r="AA11658" s="4"/>
    </row>
    <row r="11659" spans="27:27">
      <c r="AA11659" s="4"/>
    </row>
    <row r="11660" spans="27:27">
      <c r="AA11660" s="4"/>
    </row>
    <row r="11661" spans="27:27">
      <c r="AA11661" s="4"/>
    </row>
    <row r="11662" spans="27:27">
      <c r="AA11662" s="4"/>
    </row>
    <row r="11663" spans="27:27">
      <c r="AA11663" s="4"/>
    </row>
    <row r="11664" spans="27:27">
      <c r="AA11664" s="4"/>
    </row>
    <row r="11665" spans="27:27">
      <c r="AA11665" s="4"/>
    </row>
    <row r="11666" spans="27:27">
      <c r="AA11666" s="4"/>
    </row>
    <row r="11667" spans="27:27">
      <c r="AA11667" s="4"/>
    </row>
    <row r="11668" spans="27:27">
      <c r="AA11668" s="4"/>
    </row>
    <row r="11669" spans="27:27">
      <c r="AA11669" s="4"/>
    </row>
    <row r="11670" spans="27:27">
      <c r="AA11670" s="4"/>
    </row>
    <row r="11671" spans="27:27">
      <c r="AA11671" s="4"/>
    </row>
    <row r="11672" spans="27:27">
      <c r="AA11672" s="4"/>
    </row>
    <row r="11673" spans="27:27">
      <c r="AA11673" s="4"/>
    </row>
    <row r="11674" spans="27:27">
      <c r="AA11674" s="4"/>
    </row>
    <row r="11675" spans="27:27">
      <c r="AA11675" s="4"/>
    </row>
    <row r="11676" spans="27:27">
      <c r="AA11676" s="4"/>
    </row>
    <row r="11677" spans="27:27">
      <c r="AA11677" s="4"/>
    </row>
    <row r="11678" spans="27:27">
      <c r="AA11678" s="4"/>
    </row>
    <row r="11679" spans="27:27">
      <c r="AA11679" s="4"/>
    </row>
    <row r="11680" spans="27:27">
      <c r="AA11680" s="4"/>
    </row>
    <row r="11681" spans="27:27">
      <c r="AA11681" s="4"/>
    </row>
    <row r="11682" spans="27:27">
      <c r="AA11682" s="4"/>
    </row>
    <row r="11683" spans="27:27">
      <c r="AA11683" s="4"/>
    </row>
    <row r="11684" spans="27:27">
      <c r="AA11684" s="4"/>
    </row>
    <row r="11685" spans="27:27">
      <c r="AA11685" s="4"/>
    </row>
    <row r="11686" spans="27:27">
      <c r="AA11686" s="4"/>
    </row>
    <row r="11687" spans="27:27">
      <c r="AA11687" s="4"/>
    </row>
    <row r="11688" spans="27:27">
      <c r="AA11688" s="4"/>
    </row>
    <row r="11689" spans="27:27">
      <c r="AA11689" s="4"/>
    </row>
    <row r="11690" spans="27:27">
      <c r="AA11690" s="4"/>
    </row>
    <row r="11691" spans="27:27">
      <c r="AA11691" s="4"/>
    </row>
    <row r="11692" spans="27:27">
      <c r="AA11692" s="4"/>
    </row>
    <row r="11693" spans="27:27">
      <c r="AA11693" s="4"/>
    </row>
    <row r="11694" spans="27:27">
      <c r="AA11694" s="4"/>
    </row>
    <row r="11695" spans="27:27">
      <c r="AA11695" s="4"/>
    </row>
    <row r="11696" spans="27:27">
      <c r="AA11696" s="4"/>
    </row>
    <row r="11697" spans="27:27">
      <c r="AA11697" s="4"/>
    </row>
    <row r="11698" spans="27:27">
      <c r="AA11698" s="4"/>
    </row>
    <row r="11699" spans="27:27">
      <c r="AA11699" s="4"/>
    </row>
    <row r="11700" spans="27:27">
      <c r="AA11700" s="4"/>
    </row>
    <row r="11701" spans="27:27">
      <c r="AA11701" s="4"/>
    </row>
    <row r="11702" spans="27:27">
      <c r="AA11702" s="4"/>
    </row>
    <row r="11703" spans="27:27">
      <c r="AA11703" s="4"/>
    </row>
    <row r="11704" spans="27:27">
      <c r="AA11704" s="4"/>
    </row>
    <row r="11705" spans="27:27">
      <c r="AA11705" s="4"/>
    </row>
    <row r="11706" spans="27:27">
      <c r="AA11706" s="4"/>
    </row>
    <row r="11707" spans="27:27">
      <c r="AA11707" s="4"/>
    </row>
    <row r="11708" spans="27:27">
      <c r="AA11708" s="4"/>
    </row>
    <row r="11709" spans="27:27">
      <c r="AA11709" s="4"/>
    </row>
    <row r="11710" spans="27:27">
      <c r="AA11710" s="4"/>
    </row>
    <row r="11711" spans="27:27">
      <c r="AA11711" s="4"/>
    </row>
    <row r="11712" spans="27:27">
      <c r="AA11712" s="4"/>
    </row>
    <row r="11713" spans="27:56">
      <c r="AA11713" s="4"/>
    </row>
    <row r="11714" spans="27:56">
      <c r="AA11714" s="4"/>
    </row>
    <row r="11715" spans="27:56">
      <c r="AA11715" s="4"/>
    </row>
    <row r="11716" spans="27:56">
      <c r="AA11716" s="4"/>
    </row>
    <row r="11717" spans="27:56">
      <c r="AA11717" s="4"/>
    </row>
    <row r="11718" spans="27:56">
      <c r="AA11718" s="4"/>
    </row>
    <row r="11719" spans="27:56">
      <c r="AA11719" s="4"/>
    </row>
    <row r="11720" spans="27:56">
      <c r="AA11720" s="4"/>
      <c r="BD11720" s="4"/>
    </row>
    <row r="11721" spans="27:56">
      <c r="AA11721" s="4"/>
    </row>
    <row r="11722" spans="27:56">
      <c r="AA11722" s="4"/>
    </row>
    <row r="11723" spans="27:56">
      <c r="AA11723" s="4"/>
    </row>
    <row r="11724" spans="27:56">
      <c r="AA11724" s="4"/>
    </row>
    <row r="11725" spans="27:56">
      <c r="AA11725" s="4"/>
    </row>
    <row r="11726" spans="27:56">
      <c r="AA11726" s="4"/>
    </row>
    <row r="11727" spans="27:56">
      <c r="AA11727" s="4"/>
    </row>
    <row r="11728" spans="27:56">
      <c r="AA11728" s="4"/>
    </row>
    <row r="11729" spans="27:27">
      <c r="AA11729" s="4"/>
    </row>
    <row r="11730" spans="27:27">
      <c r="AA11730" s="4"/>
    </row>
    <row r="11731" spans="27:27">
      <c r="AA11731" s="4"/>
    </row>
    <row r="11732" spans="27:27">
      <c r="AA11732" s="4"/>
    </row>
    <row r="11733" spans="27:27">
      <c r="AA11733" s="4"/>
    </row>
    <row r="11734" spans="27:27">
      <c r="AA11734" s="4"/>
    </row>
    <row r="11735" spans="27:27">
      <c r="AA11735" s="4"/>
    </row>
    <row r="11736" spans="27:27">
      <c r="AA11736" s="4"/>
    </row>
    <row r="11737" spans="27:27">
      <c r="AA11737" s="4"/>
    </row>
    <row r="11738" spans="27:27">
      <c r="AA11738" s="4"/>
    </row>
    <row r="11739" spans="27:27">
      <c r="AA11739" s="4"/>
    </row>
    <row r="11740" spans="27:27">
      <c r="AA11740" s="4"/>
    </row>
    <row r="11741" spans="27:27">
      <c r="AA11741" s="4"/>
    </row>
    <row r="11742" spans="27:27">
      <c r="AA11742" s="4"/>
    </row>
    <row r="11743" spans="27:27">
      <c r="AA11743" s="4"/>
    </row>
    <row r="11744" spans="27:27">
      <c r="AA11744" s="4"/>
    </row>
    <row r="11745" spans="27:27">
      <c r="AA11745" s="4"/>
    </row>
    <row r="11746" spans="27:27">
      <c r="AA11746" s="4"/>
    </row>
    <row r="11747" spans="27:27">
      <c r="AA11747" s="4"/>
    </row>
    <row r="11748" spans="27:27">
      <c r="AA11748" s="4"/>
    </row>
    <row r="11749" spans="27:27">
      <c r="AA11749" s="4"/>
    </row>
    <row r="11750" spans="27:27">
      <c r="AA11750" s="4"/>
    </row>
    <row r="11751" spans="27:27">
      <c r="AA11751" s="4"/>
    </row>
    <row r="11752" spans="27:27">
      <c r="AA11752" s="4"/>
    </row>
    <row r="11753" spans="27:27">
      <c r="AA11753" s="4"/>
    </row>
    <row r="11754" spans="27:27">
      <c r="AA11754" s="4"/>
    </row>
    <row r="11755" spans="27:27">
      <c r="AA11755" s="4"/>
    </row>
    <row r="11756" spans="27:27">
      <c r="AA11756" s="4"/>
    </row>
    <row r="11757" spans="27:27">
      <c r="AA11757" s="4"/>
    </row>
    <row r="11758" spans="27:27">
      <c r="AA11758" s="4"/>
    </row>
    <row r="11759" spans="27:27">
      <c r="AA11759" s="4"/>
    </row>
    <row r="11760" spans="27:27">
      <c r="AA11760" s="4"/>
    </row>
    <row r="11761" spans="27:27">
      <c r="AA11761" s="4"/>
    </row>
    <row r="11762" spans="27:27">
      <c r="AA11762" s="4"/>
    </row>
    <row r="11763" spans="27:27">
      <c r="AA11763" s="4"/>
    </row>
    <row r="11764" spans="27:27">
      <c r="AA11764" s="4"/>
    </row>
    <row r="11765" spans="27:27">
      <c r="AA11765" s="4"/>
    </row>
    <row r="11766" spans="27:27">
      <c r="AA11766" s="4"/>
    </row>
    <row r="11767" spans="27:27">
      <c r="AA11767" s="4"/>
    </row>
    <row r="11768" spans="27:27">
      <c r="AA11768" s="4"/>
    </row>
    <row r="11769" spans="27:27">
      <c r="AA11769" s="4"/>
    </row>
    <row r="11770" spans="27:27">
      <c r="AA11770" s="4"/>
    </row>
    <row r="11771" spans="27:27">
      <c r="AA11771" s="4"/>
    </row>
    <row r="11772" spans="27:27">
      <c r="AA11772" s="4"/>
    </row>
    <row r="11773" spans="27:27">
      <c r="AA11773" s="4"/>
    </row>
    <row r="11774" spans="27:27">
      <c r="AA11774" s="4"/>
    </row>
    <row r="11775" spans="27:27">
      <c r="AA11775" s="4"/>
    </row>
    <row r="11776" spans="27:27">
      <c r="AA11776" s="4"/>
    </row>
    <row r="11777" spans="27:27">
      <c r="AA11777" s="4"/>
    </row>
    <row r="11778" spans="27:27">
      <c r="AA11778" s="4"/>
    </row>
    <row r="11779" spans="27:27">
      <c r="AA11779" s="4"/>
    </row>
    <row r="11780" spans="27:27">
      <c r="AA11780" s="4"/>
    </row>
    <row r="11781" spans="27:27">
      <c r="AA11781" s="4"/>
    </row>
    <row r="11782" spans="27:27">
      <c r="AA11782" s="4"/>
    </row>
    <row r="11783" spans="27:27">
      <c r="AA11783" s="4"/>
    </row>
    <row r="11784" spans="27:27">
      <c r="AA11784" s="4"/>
    </row>
    <row r="11785" spans="27:27">
      <c r="AA11785" s="4"/>
    </row>
    <row r="11786" spans="27:27">
      <c r="AA11786" s="4"/>
    </row>
    <row r="11787" spans="27:27">
      <c r="AA11787" s="4"/>
    </row>
    <row r="11788" spans="27:27">
      <c r="AA11788" s="4"/>
    </row>
    <row r="11789" spans="27:27">
      <c r="AA11789" s="4"/>
    </row>
    <row r="11790" spans="27:27">
      <c r="AA11790" s="4"/>
    </row>
    <row r="11791" spans="27:27">
      <c r="AA11791" s="4"/>
    </row>
    <row r="11792" spans="27:27">
      <c r="AA11792" s="4"/>
    </row>
    <row r="11793" spans="27:56">
      <c r="AA11793" s="4"/>
      <c r="BD11793" s="4"/>
    </row>
    <row r="11794" spans="27:56">
      <c r="AA11794" s="4"/>
    </row>
    <row r="11795" spans="27:56">
      <c r="AA11795" s="4"/>
    </row>
    <row r="11796" spans="27:56">
      <c r="AA11796" s="4"/>
    </row>
    <row r="11797" spans="27:56">
      <c r="AA11797" s="4"/>
    </row>
    <row r="11798" spans="27:56">
      <c r="AA11798" s="4"/>
    </row>
    <row r="11799" spans="27:56">
      <c r="AA11799" s="4"/>
    </row>
    <row r="11800" spans="27:56">
      <c r="AA11800" s="4"/>
    </row>
    <row r="11801" spans="27:56">
      <c r="AA11801" s="4"/>
    </row>
    <row r="11802" spans="27:56">
      <c r="AA11802" s="4"/>
    </row>
    <row r="11803" spans="27:56">
      <c r="AA11803" s="4"/>
    </row>
    <row r="11804" spans="27:56">
      <c r="AA11804" s="4"/>
    </row>
    <row r="11805" spans="27:56">
      <c r="AA11805" s="4"/>
    </row>
    <row r="11806" spans="27:56">
      <c r="AA11806" s="4"/>
    </row>
    <row r="11807" spans="27:56">
      <c r="AA11807" s="4"/>
    </row>
    <row r="11808" spans="27:56">
      <c r="AA11808" s="4"/>
    </row>
    <row r="11809" spans="27:27">
      <c r="AA11809" s="4"/>
    </row>
    <row r="11810" spans="27:27">
      <c r="AA11810" s="4"/>
    </row>
    <row r="11811" spans="27:27">
      <c r="AA11811" s="4"/>
    </row>
    <row r="11812" spans="27:27">
      <c r="AA11812" s="4"/>
    </row>
    <row r="11813" spans="27:27">
      <c r="AA11813" s="4"/>
    </row>
    <row r="11814" spans="27:27">
      <c r="AA11814" s="4"/>
    </row>
    <row r="11815" spans="27:27">
      <c r="AA11815" s="4"/>
    </row>
    <row r="11816" spans="27:27">
      <c r="AA11816" s="4"/>
    </row>
    <row r="11817" spans="27:27">
      <c r="AA11817" s="4"/>
    </row>
    <row r="11818" spans="27:27">
      <c r="AA11818" s="4"/>
    </row>
    <row r="11819" spans="27:27">
      <c r="AA11819" s="4"/>
    </row>
    <row r="11820" spans="27:27">
      <c r="AA11820" s="4"/>
    </row>
    <row r="11821" spans="27:27">
      <c r="AA11821" s="4"/>
    </row>
    <row r="11822" spans="27:27">
      <c r="AA11822" s="4"/>
    </row>
    <row r="11823" spans="27:27">
      <c r="AA11823" s="4"/>
    </row>
    <row r="11824" spans="27:27">
      <c r="AA11824" s="4"/>
    </row>
    <row r="11825" spans="27:27">
      <c r="AA11825" s="4"/>
    </row>
    <row r="11826" spans="27:27">
      <c r="AA11826" s="4"/>
    </row>
    <row r="11827" spans="27:27">
      <c r="AA11827" s="4"/>
    </row>
    <row r="11828" spans="27:27">
      <c r="AA11828" s="4"/>
    </row>
    <row r="11829" spans="27:27">
      <c r="AA11829" s="4"/>
    </row>
    <row r="11830" spans="27:27">
      <c r="AA11830" s="4"/>
    </row>
    <row r="11831" spans="27:27">
      <c r="AA11831" s="4"/>
    </row>
    <row r="11832" spans="27:27">
      <c r="AA11832" s="4"/>
    </row>
    <row r="11833" spans="27:27">
      <c r="AA11833" s="4"/>
    </row>
    <row r="11834" spans="27:27">
      <c r="AA11834" s="4"/>
    </row>
    <row r="11835" spans="27:27">
      <c r="AA11835" s="4"/>
    </row>
    <row r="11836" spans="27:27">
      <c r="AA11836" s="4"/>
    </row>
    <row r="11837" spans="27:27">
      <c r="AA11837" s="4"/>
    </row>
    <row r="11838" spans="27:27">
      <c r="AA11838" s="4"/>
    </row>
    <row r="11839" spans="27:27">
      <c r="AA11839" s="4"/>
    </row>
    <row r="11840" spans="27:27">
      <c r="AA11840" s="4"/>
    </row>
    <row r="11841" spans="27:27">
      <c r="AA11841" s="4"/>
    </row>
    <row r="11842" spans="27:27">
      <c r="AA11842" s="4"/>
    </row>
    <row r="11843" spans="27:27">
      <c r="AA11843" s="4"/>
    </row>
    <row r="11844" spans="27:27">
      <c r="AA11844" s="4"/>
    </row>
    <row r="11845" spans="27:27">
      <c r="AA11845" s="4"/>
    </row>
    <row r="11846" spans="27:27">
      <c r="AA11846" s="4"/>
    </row>
    <row r="11847" spans="27:27">
      <c r="AA11847" s="4"/>
    </row>
    <row r="11848" spans="27:27">
      <c r="AA11848" s="4"/>
    </row>
    <row r="11849" spans="27:27">
      <c r="AA11849" s="4"/>
    </row>
    <row r="11850" spans="27:27">
      <c r="AA11850" s="4"/>
    </row>
    <row r="11851" spans="27:27">
      <c r="AA11851" s="4"/>
    </row>
    <row r="11852" spans="27:27">
      <c r="AA11852" s="4"/>
    </row>
    <row r="11853" spans="27:27">
      <c r="AA11853" s="4"/>
    </row>
    <row r="11854" spans="27:27">
      <c r="AA11854" s="4"/>
    </row>
    <row r="11855" spans="27:27">
      <c r="AA11855" s="4"/>
    </row>
    <row r="11856" spans="27:27">
      <c r="AA11856" s="4"/>
    </row>
    <row r="11857" spans="27:27">
      <c r="AA11857" s="4"/>
    </row>
    <row r="11858" spans="27:27">
      <c r="AA11858" s="4"/>
    </row>
    <row r="11859" spans="27:27">
      <c r="AA11859" s="4"/>
    </row>
    <row r="11860" spans="27:27">
      <c r="AA11860" s="4"/>
    </row>
    <row r="11861" spans="27:27">
      <c r="AA11861" s="4"/>
    </row>
    <row r="11862" spans="27:27">
      <c r="AA11862" s="4"/>
    </row>
    <row r="11863" spans="27:27">
      <c r="AA11863" s="4"/>
    </row>
    <row r="11864" spans="27:27">
      <c r="AA11864" s="4"/>
    </row>
    <row r="11865" spans="27:27">
      <c r="AA11865" s="4"/>
    </row>
    <row r="11866" spans="27:27">
      <c r="AA11866" s="4"/>
    </row>
    <row r="11867" spans="27:27">
      <c r="AA11867" s="4"/>
    </row>
    <row r="11868" spans="27:27">
      <c r="AA11868" s="4"/>
    </row>
    <row r="11869" spans="27:27">
      <c r="AA11869" s="4"/>
    </row>
    <row r="11870" spans="27:27">
      <c r="AA11870" s="4"/>
    </row>
    <row r="11871" spans="27:27">
      <c r="AA11871" s="4"/>
    </row>
    <row r="11872" spans="27:27">
      <c r="AA11872" s="4"/>
    </row>
    <row r="11873" spans="27:27">
      <c r="AA11873" s="4"/>
    </row>
    <row r="11874" spans="27:27">
      <c r="AA11874" s="4"/>
    </row>
    <row r="11875" spans="27:27">
      <c r="AA11875" s="4"/>
    </row>
    <row r="11876" spans="27:27">
      <c r="AA11876" s="4"/>
    </row>
    <row r="11877" spans="27:27">
      <c r="AA11877" s="4"/>
    </row>
    <row r="11878" spans="27:27">
      <c r="AA11878" s="4"/>
    </row>
    <row r="11879" spans="27:27">
      <c r="AA11879" s="4"/>
    </row>
    <row r="11880" spans="27:27">
      <c r="AA11880" s="4"/>
    </row>
    <row r="11881" spans="27:27">
      <c r="AA11881" s="4"/>
    </row>
    <row r="11882" spans="27:27">
      <c r="AA11882" s="4"/>
    </row>
    <row r="11883" spans="27:27">
      <c r="AA11883" s="4"/>
    </row>
    <row r="11884" spans="27:27">
      <c r="AA11884" s="4"/>
    </row>
    <row r="11885" spans="27:27">
      <c r="AA11885" s="4"/>
    </row>
    <row r="11886" spans="27:27">
      <c r="AA11886" s="4"/>
    </row>
    <row r="11887" spans="27:27">
      <c r="AA11887" s="4"/>
    </row>
    <row r="11888" spans="27:27">
      <c r="AA11888" s="4"/>
    </row>
    <row r="11889" spans="27:27">
      <c r="AA11889" s="4"/>
    </row>
    <row r="11890" spans="27:27">
      <c r="AA11890" s="4"/>
    </row>
    <row r="11891" spans="27:27">
      <c r="AA11891" s="4"/>
    </row>
    <row r="11892" spans="27:27">
      <c r="AA11892" s="4"/>
    </row>
    <row r="11893" spans="27:27">
      <c r="AA11893" s="4"/>
    </row>
    <row r="11894" spans="27:27">
      <c r="AA11894" s="4"/>
    </row>
    <row r="11895" spans="27:27">
      <c r="AA11895" s="4"/>
    </row>
    <row r="11896" spans="27:27">
      <c r="AA11896" s="4"/>
    </row>
    <row r="11897" spans="27:27">
      <c r="AA11897" s="4"/>
    </row>
    <row r="11898" spans="27:27">
      <c r="AA11898" s="4"/>
    </row>
    <row r="11899" spans="27:27">
      <c r="AA11899" s="4"/>
    </row>
    <row r="11900" spans="27:27">
      <c r="AA11900" s="4"/>
    </row>
    <row r="11901" spans="27:27">
      <c r="AA11901" s="4"/>
    </row>
    <row r="11902" spans="27:27">
      <c r="AA11902" s="4"/>
    </row>
    <row r="11903" spans="27:27">
      <c r="AA11903" s="4"/>
    </row>
    <row r="11904" spans="27:27">
      <c r="AA11904" s="4"/>
    </row>
    <row r="11905" spans="27:27">
      <c r="AA11905" s="4"/>
    </row>
    <row r="11906" spans="27:27">
      <c r="AA11906" s="4"/>
    </row>
    <row r="11907" spans="27:27">
      <c r="AA11907" s="4"/>
    </row>
    <row r="11908" spans="27:27">
      <c r="AA11908" s="4"/>
    </row>
    <row r="11909" spans="27:27">
      <c r="AA11909" s="4"/>
    </row>
    <row r="11910" spans="27:27">
      <c r="AA11910" s="4"/>
    </row>
    <row r="11911" spans="27:27">
      <c r="AA11911" s="4"/>
    </row>
    <row r="11912" spans="27:27">
      <c r="AA11912" s="4"/>
    </row>
    <row r="11913" spans="27:27">
      <c r="AA11913" s="4"/>
    </row>
    <row r="11914" spans="27:27">
      <c r="AA11914" s="4"/>
    </row>
    <row r="11915" spans="27:27">
      <c r="AA11915" s="4"/>
    </row>
    <row r="11916" spans="27:27">
      <c r="AA11916" s="4"/>
    </row>
    <row r="11917" spans="27:27">
      <c r="AA11917" s="4"/>
    </row>
    <row r="11918" spans="27:27">
      <c r="AA11918" s="4"/>
    </row>
    <row r="11919" spans="27:27">
      <c r="AA11919" s="4"/>
    </row>
    <row r="11920" spans="27:27">
      <c r="AA11920" s="4"/>
    </row>
    <row r="11921" spans="27:27">
      <c r="AA11921" s="4"/>
    </row>
    <row r="11922" spans="27:27">
      <c r="AA11922" s="4"/>
    </row>
    <row r="11923" spans="27:27">
      <c r="AA11923" s="4"/>
    </row>
    <row r="11982" spans="27:27">
      <c r="AA11982" s="4"/>
    </row>
    <row r="11983" spans="27:27">
      <c r="AA11983" s="4"/>
    </row>
    <row r="11984" spans="27:27">
      <c r="AA11984" s="4"/>
    </row>
    <row r="11985" spans="27:27">
      <c r="AA11985" s="4"/>
    </row>
    <row r="11986" spans="27:27">
      <c r="AA11986" s="4"/>
    </row>
    <row r="11987" spans="27:27">
      <c r="AA11987" s="4"/>
    </row>
    <row r="12043" spans="56:56">
      <c r="BD12043" s="4"/>
    </row>
    <row r="12164" spans="48:48">
      <c r="AV12164" s="11"/>
    </row>
    <row r="12165" spans="48:48">
      <c r="AV12165" s="11"/>
    </row>
    <row r="12166" spans="48:48">
      <c r="AV12166" s="11"/>
    </row>
    <row r="12167" spans="48:48">
      <c r="AV12167" s="11"/>
    </row>
    <row r="12168" spans="48:48">
      <c r="AV12168" s="11"/>
    </row>
    <row r="12169" spans="48:48">
      <c r="AV12169" s="11"/>
    </row>
    <row r="12170" spans="48:48">
      <c r="AV12170" s="11"/>
    </row>
    <row r="12171" spans="48:48">
      <c r="AV12171" s="11"/>
    </row>
    <row r="12172" spans="48:48">
      <c r="AV12172" s="11"/>
    </row>
    <row r="12173" spans="48:48">
      <c r="AV12173" s="11"/>
    </row>
    <row r="12174" spans="48:48">
      <c r="AV12174" s="11"/>
    </row>
    <row r="12175" spans="48:48">
      <c r="AV12175" s="11"/>
    </row>
    <row r="12176" spans="48:48">
      <c r="AV12176" s="11"/>
    </row>
    <row r="12177" spans="48:48">
      <c r="AV12177" s="11"/>
    </row>
    <row r="12178" spans="48:48">
      <c r="AV12178" s="11"/>
    </row>
    <row r="12179" spans="48:48">
      <c r="AV12179" s="11"/>
    </row>
    <row r="12180" spans="48:48">
      <c r="AV12180" s="11"/>
    </row>
    <row r="12181" spans="48:48">
      <c r="AV12181" s="11"/>
    </row>
    <row r="12182" spans="48:48">
      <c r="AV12182" s="11"/>
    </row>
    <row r="12183" spans="48:48">
      <c r="AV12183" s="11"/>
    </row>
    <row r="12184" spans="48:48">
      <c r="AV12184" s="11"/>
    </row>
    <row r="12185" spans="48:48">
      <c r="AV12185" s="11"/>
    </row>
    <row r="12186" spans="48:48">
      <c r="AV12186" s="11"/>
    </row>
    <row r="12187" spans="48:48">
      <c r="AV12187" s="11"/>
    </row>
    <row r="12188" spans="48:48">
      <c r="AV12188" s="11"/>
    </row>
    <row r="12189" spans="48:48">
      <c r="AV12189" s="11"/>
    </row>
    <row r="12190" spans="48:48">
      <c r="AV12190" s="11"/>
    </row>
    <row r="12191" spans="48:48">
      <c r="AV12191" s="11"/>
    </row>
    <row r="12192" spans="48:48">
      <c r="AV12192" s="11"/>
    </row>
    <row r="12193" spans="48:48">
      <c r="AV12193" s="11"/>
    </row>
    <row r="12194" spans="48:48">
      <c r="AV12194" s="11"/>
    </row>
    <row r="12195" spans="48:48">
      <c r="AV12195" s="11"/>
    </row>
    <row r="12196" spans="48:48">
      <c r="AV12196" s="11"/>
    </row>
    <row r="12197" spans="48:48">
      <c r="AV12197" s="11"/>
    </row>
    <row r="12198" spans="48:48">
      <c r="AV12198" s="11"/>
    </row>
    <row r="12199" spans="48:48">
      <c r="AV12199" s="11"/>
    </row>
    <row r="12200" spans="48:48">
      <c r="AV12200" s="11"/>
    </row>
    <row r="12201" spans="48:48">
      <c r="AV12201" s="11"/>
    </row>
    <row r="12202" spans="48:48">
      <c r="AV12202" s="11"/>
    </row>
    <row r="12203" spans="48:48">
      <c r="AV12203" s="11"/>
    </row>
    <row r="12204" spans="48:48">
      <c r="AV12204" s="11"/>
    </row>
    <row r="12205" spans="48:48">
      <c r="AV12205" s="11"/>
    </row>
    <row r="12206" spans="48:48">
      <c r="AV12206" s="11"/>
    </row>
    <row r="12207" spans="48:48">
      <c r="AV12207" s="11"/>
    </row>
    <row r="12208" spans="48:48">
      <c r="AV12208" s="11"/>
    </row>
    <row r="12209" spans="48:48">
      <c r="AV12209" s="11"/>
    </row>
    <row r="12210" spans="48:48">
      <c r="AV12210" s="11"/>
    </row>
    <row r="12211" spans="48:48">
      <c r="AV12211" s="11"/>
    </row>
    <row r="12212" spans="48:48">
      <c r="AV12212" s="11"/>
    </row>
    <row r="12213" spans="48:48">
      <c r="AV12213" s="11"/>
    </row>
    <row r="12214" spans="48:48">
      <c r="AV12214" s="11"/>
    </row>
    <row r="12215" spans="48:48">
      <c r="AV12215" s="11"/>
    </row>
    <row r="12216" spans="48:48">
      <c r="AV12216" s="11"/>
    </row>
    <row r="12217" spans="48:48">
      <c r="AV12217" s="11"/>
    </row>
    <row r="12218" spans="48:48">
      <c r="AV12218" s="11"/>
    </row>
    <row r="12219" spans="48:48">
      <c r="AV12219" s="11"/>
    </row>
    <row r="12220" spans="48:48">
      <c r="AV12220" s="11"/>
    </row>
    <row r="12221" spans="48:48">
      <c r="AV12221" s="11"/>
    </row>
    <row r="12222" spans="48:48">
      <c r="AV12222" s="11"/>
    </row>
    <row r="12223" spans="48:48">
      <c r="AV12223" s="11"/>
    </row>
    <row r="12224" spans="48:48">
      <c r="AV12224" s="11"/>
    </row>
    <row r="12225" spans="48:48">
      <c r="AV12225" s="11"/>
    </row>
    <row r="12226" spans="48:48">
      <c r="AV12226" s="11"/>
    </row>
    <row r="12227" spans="48:48">
      <c r="AV12227" s="11"/>
    </row>
    <row r="12228" spans="48:48">
      <c r="AV12228" s="11"/>
    </row>
    <row r="12229" spans="48:48">
      <c r="AV12229" s="11"/>
    </row>
    <row r="12230" spans="48:48">
      <c r="AV12230" s="11"/>
    </row>
    <row r="12231" spans="48:48">
      <c r="AV12231" s="11"/>
    </row>
    <row r="12232" spans="48:48">
      <c r="AV12232" s="11"/>
    </row>
    <row r="12233" spans="48:48">
      <c r="AV12233" s="11"/>
    </row>
    <row r="12234" spans="48:48">
      <c r="AV12234" s="11"/>
    </row>
    <row r="12235" spans="48:48">
      <c r="AV12235" s="11"/>
    </row>
    <row r="12236" spans="48:48">
      <c r="AV12236" s="11"/>
    </row>
    <row r="12237" spans="48:48">
      <c r="AV12237" s="11"/>
    </row>
    <row r="12238" spans="48:48">
      <c r="AV12238" s="11"/>
    </row>
    <row r="12239" spans="48:48">
      <c r="AV12239" s="11"/>
    </row>
    <row r="12240" spans="48:48">
      <c r="AV12240" s="11"/>
    </row>
    <row r="12241" spans="48:48">
      <c r="AV12241" s="11"/>
    </row>
    <row r="12242" spans="48:48">
      <c r="AV12242" s="11"/>
    </row>
    <row r="12243" spans="48:48">
      <c r="AV12243" s="11"/>
    </row>
    <row r="12244" spans="48:48">
      <c r="AV12244" s="11"/>
    </row>
    <row r="12245" spans="48:48">
      <c r="AV12245" s="11"/>
    </row>
    <row r="12246" spans="48:48">
      <c r="AV12246" s="11"/>
    </row>
    <row r="12247" spans="48:48">
      <c r="AV12247" s="11"/>
    </row>
    <row r="12248" spans="48:48">
      <c r="AV12248" s="11"/>
    </row>
    <row r="12249" spans="48:48">
      <c r="AV12249" s="11"/>
    </row>
    <row r="12250" spans="48:48">
      <c r="AV12250" s="11"/>
    </row>
    <row r="12251" spans="48:48">
      <c r="AV12251" s="11"/>
    </row>
    <row r="12252" spans="48:48">
      <c r="AV12252" s="11"/>
    </row>
    <row r="12253" spans="48:48">
      <c r="AV12253" s="11"/>
    </row>
    <row r="12254" spans="48:48">
      <c r="AV12254" s="11"/>
    </row>
    <row r="12255" spans="48:48">
      <c r="AV12255" s="11"/>
    </row>
    <row r="12256" spans="48:48">
      <c r="AV12256" s="11"/>
    </row>
    <row r="12257" spans="48:48">
      <c r="AV12257" s="11"/>
    </row>
    <row r="12258" spans="48:48">
      <c r="AV12258" s="11"/>
    </row>
    <row r="12259" spans="48:48">
      <c r="AV12259" s="11"/>
    </row>
    <row r="12260" spans="48:48">
      <c r="AV12260" s="11"/>
    </row>
    <row r="12261" spans="48:48">
      <c r="AV12261" s="11"/>
    </row>
    <row r="12262" spans="48:48">
      <c r="AV12262" s="11"/>
    </row>
    <row r="12263" spans="48:48">
      <c r="AV12263" s="11"/>
    </row>
    <row r="12264" spans="48:48">
      <c r="AV12264" s="11"/>
    </row>
    <row r="12265" spans="48:48">
      <c r="AV12265" s="11"/>
    </row>
    <row r="12266" spans="48:48">
      <c r="AV12266" s="11"/>
    </row>
    <row r="12267" spans="48:48">
      <c r="AV12267" s="11"/>
    </row>
    <row r="12268" spans="48:48">
      <c r="AV12268" s="11"/>
    </row>
    <row r="12269" spans="48:48">
      <c r="AV12269" s="11"/>
    </row>
    <row r="12270" spans="48:48">
      <c r="AV12270" s="11"/>
    </row>
    <row r="12271" spans="48:48">
      <c r="AV12271" s="11"/>
    </row>
    <row r="12272" spans="48:48">
      <c r="AV12272" s="11"/>
    </row>
    <row r="12273" spans="48:48">
      <c r="AV12273" s="11"/>
    </row>
    <row r="12274" spans="48:48">
      <c r="AV12274" s="11"/>
    </row>
    <row r="12275" spans="48:48">
      <c r="AV12275" s="11"/>
    </row>
    <row r="12276" spans="48:48">
      <c r="AV12276" s="11"/>
    </row>
    <row r="12277" spans="48:48">
      <c r="AV12277" s="11"/>
    </row>
    <row r="12278" spans="48:48">
      <c r="AV12278" s="11"/>
    </row>
    <row r="12279" spans="48:48">
      <c r="AV12279" s="11"/>
    </row>
    <row r="12280" spans="48:48">
      <c r="AV12280" s="11"/>
    </row>
    <row r="12281" spans="48:48">
      <c r="AV12281" s="11"/>
    </row>
    <row r="12282" spans="48:48">
      <c r="AV12282" s="11"/>
    </row>
    <row r="12283" spans="48:48">
      <c r="AV12283" s="11"/>
    </row>
    <row r="12284" spans="48:48">
      <c r="AV12284" s="11"/>
    </row>
    <row r="12285" spans="48:48">
      <c r="AV12285" s="11"/>
    </row>
    <row r="12286" spans="48:48">
      <c r="AV12286" s="11"/>
    </row>
    <row r="12287" spans="48:48">
      <c r="AV12287" s="11"/>
    </row>
    <row r="12288" spans="48:48">
      <c r="AV12288" s="11"/>
    </row>
    <row r="12289" spans="48:48">
      <c r="AV12289" s="11"/>
    </row>
    <row r="12290" spans="48:48">
      <c r="AV12290" s="11"/>
    </row>
    <row r="12291" spans="48:48">
      <c r="AV12291" s="11"/>
    </row>
    <row r="12292" spans="48:48">
      <c r="AV12292" s="11"/>
    </row>
    <row r="12293" spans="48:48">
      <c r="AV12293" s="11"/>
    </row>
    <row r="12294" spans="48:48">
      <c r="AV12294" s="11"/>
    </row>
    <row r="12295" spans="48:48">
      <c r="AV12295" s="11"/>
    </row>
    <row r="12296" spans="48:48">
      <c r="AV12296" s="11"/>
    </row>
    <row r="12297" spans="48:48">
      <c r="AV12297" s="11"/>
    </row>
    <row r="12298" spans="48:48">
      <c r="AV12298" s="11"/>
    </row>
    <row r="12299" spans="48:48">
      <c r="AV12299" s="11"/>
    </row>
    <row r="12300" spans="48:48">
      <c r="AV12300" s="11"/>
    </row>
    <row r="12301" spans="48:48">
      <c r="AV12301" s="11"/>
    </row>
    <row r="12302" spans="48:48">
      <c r="AV12302" s="11"/>
    </row>
    <row r="12303" spans="48:48">
      <c r="AV12303" s="11"/>
    </row>
    <row r="12304" spans="48:48">
      <c r="AV12304" s="11"/>
    </row>
    <row r="12305" spans="48:48">
      <c r="AV12305" s="11"/>
    </row>
    <row r="12306" spans="48:48">
      <c r="AV12306" s="11"/>
    </row>
    <row r="12307" spans="48:48">
      <c r="AV12307" s="11"/>
    </row>
    <row r="12308" spans="48:48">
      <c r="AV12308" s="11"/>
    </row>
    <row r="12309" spans="48:48">
      <c r="AV12309" s="11"/>
    </row>
    <row r="12310" spans="48:48">
      <c r="AV12310" s="11"/>
    </row>
    <row r="12311" spans="48:48">
      <c r="AV12311" s="11"/>
    </row>
    <row r="12312" spans="48:48">
      <c r="AV12312" s="11"/>
    </row>
    <row r="12313" spans="48:48">
      <c r="AV12313" s="11"/>
    </row>
    <row r="12314" spans="48:48">
      <c r="AV12314" s="11"/>
    </row>
    <row r="12315" spans="48:48">
      <c r="AV12315" s="11"/>
    </row>
    <row r="12316" spans="48:48">
      <c r="AV12316" s="11"/>
    </row>
    <row r="12317" spans="48:48">
      <c r="AV12317" s="11"/>
    </row>
    <row r="12318" spans="48:48">
      <c r="AV12318" s="11"/>
    </row>
    <row r="12319" spans="48:48">
      <c r="AV12319" s="11"/>
    </row>
    <row r="12320" spans="48:48">
      <c r="AV12320" s="11"/>
    </row>
    <row r="12321" spans="48:48">
      <c r="AV12321" s="11"/>
    </row>
    <row r="12322" spans="48:48">
      <c r="AV12322" s="11"/>
    </row>
    <row r="12323" spans="48:48">
      <c r="AV12323" s="11"/>
    </row>
    <row r="12324" spans="48:48">
      <c r="AV12324" s="11"/>
    </row>
    <row r="12325" spans="48:48">
      <c r="AV12325" s="11"/>
    </row>
    <row r="12326" spans="48:48">
      <c r="AV12326" s="11"/>
    </row>
    <row r="12327" spans="48:48">
      <c r="AV12327" s="11"/>
    </row>
    <row r="12328" spans="48:48">
      <c r="AV12328" s="11"/>
    </row>
    <row r="12329" spans="48:48">
      <c r="AV12329" s="11"/>
    </row>
    <row r="12330" spans="48:48">
      <c r="AV12330" s="11"/>
    </row>
    <row r="12331" spans="48:48">
      <c r="AV12331" s="11"/>
    </row>
    <row r="12332" spans="48:48">
      <c r="AV12332" s="11"/>
    </row>
    <row r="12333" spans="48:48">
      <c r="AV12333" s="11"/>
    </row>
    <row r="12334" spans="48:48">
      <c r="AV12334" s="11"/>
    </row>
    <row r="12335" spans="48:48">
      <c r="AV12335" s="11"/>
    </row>
    <row r="12336" spans="48:48">
      <c r="AV12336" s="11"/>
    </row>
    <row r="12337" spans="48:48">
      <c r="AV12337" s="11"/>
    </row>
    <row r="12338" spans="48:48">
      <c r="AV12338" s="11"/>
    </row>
    <row r="12339" spans="48:48">
      <c r="AV12339" s="11"/>
    </row>
    <row r="12340" spans="48:48">
      <c r="AV12340" s="11"/>
    </row>
    <row r="12341" spans="48:48">
      <c r="AV12341" s="11"/>
    </row>
    <row r="12342" spans="48:48">
      <c r="AV12342" s="11"/>
    </row>
    <row r="12343" spans="48:48">
      <c r="AV12343" s="11"/>
    </row>
    <row r="12344" spans="48:48">
      <c r="AV12344" s="11"/>
    </row>
    <row r="12345" spans="48:48">
      <c r="AV12345" s="11"/>
    </row>
    <row r="12346" spans="48:48">
      <c r="AV12346" s="11"/>
    </row>
    <row r="12347" spans="48:48">
      <c r="AV12347" s="11"/>
    </row>
    <row r="12348" spans="48:48">
      <c r="AV12348" s="11"/>
    </row>
    <row r="12349" spans="48:48">
      <c r="AV12349" s="11"/>
    </row>
    <row r="12350" spans="48:48">
      <c r="AV12350" s="11"/>
    </row>
    <row r="12351" spans="48:48">
      <c r="AV12351" s="11"/>
    </row>
    <row r="12352" spans="48:48">
      <c r="AV12352" s="11"/>
    </row>
    <row r="12353" spans="48:48">
      <c r="AV12353" s="11"/>
    </row>
    <row r="12354" spans="48:48">
      <c r="AV12354" s="11"/>
    </row>
    <row r="12355" spans="48:48">
      <c r="AV12355" s="11"/>
    </row>
    <row r="12356" spans="48:48">
      <c r="AV12356" s="11"/>
    </row>
    <row r="12357" spans="48:48">
      <c r="AV12357" s="11"/>
    </row>
    <row r="12358" spans="48:48">
      <c r="AV12358" s="11"/>
    </row>
    <row r="12359" spans="48:48">
      <c r="AV12359" s="11"/>
    </row>
    <row r="12360" spans="48:48">
      <c r="AV12360" s="11"/>
    </row>
    <row r="12361" spans="48:48">
      <c r="AV12361" s="11"/>
    </row>
    <row r="12362" spans="48:48">
      <c r="AV12362" s="11"/>
    </row>
    <row r="12363" spans="48:48">
      <c r="AV12363" s="11"/>
    </row>
    <row r="12364" spans="48:48">
      <c r="AV12364" s="11"/>
    </row>
    <row r="12365" spans="48:48">
      <c r="AV12365" s="11"/>
    </row>
    <row r="12366" spans="48:48">
      <c r="AV12366" s="11"/>
    </row>
    <row r="12367" spans="48:48">
      <c r="AV12367" s="11"/>
    </row>
    <row r="12368" spans="48:48">
      <c r="AV12368" s="11"/>
    </row>
    <row r="12369" spans="48:48">
      <c r="AV12369" s="11"/>
    </row>
    <row r="12370" spans="48:48">
      <c r="AV12370" s="11"/>
    </row>
    <row r="12371" spans="48:48">
      <c r="AV12371" s="11"/>
    </row>
    <row r="12372" spans="48:48">
      <c r="AV12372" s="11"/>
    </row>
    <row r="12373" spans="48:48">
      <c r="AV12373" s="11"/>
    </row>
    <row r="12374" spans="48:48">
      <c r="AV12374" s="11"/>
    </row>
    <row r="12375" spans="48:48">
      <c r="AV12375" s="11"/>
    </row>
    <row r="12376" spans="48:48">
      <c r="AV12376" s="11"/>
    </row>
    <row r="12377" spans="48:48">
      <c r="AV12377" s="11"/>
    </row>
    <row r="12378" spans="48:48">
      <c r="AV12378" s="11"/>
    </row>
    <row r="12379" spans="48:48">
      <c r="AV12379" s="11"/>
    </row>
    <row r="12380" spans="48:48">
      <c r="AV12380" s="11"/>
    </row>
    <row r="12381" spans="48:48">
      <c r="AV12381" s="11"/>
    </row>
    <row r="12382" spans="48:48">
      <c r="AV12382" s="11"/>
    </row>
    <row r="12383" spans="48:48">
      <c r="AV12383" s="11"/>
    </row>
    <row r="12384" spans="48:48">
      <c r="AV12384" s="11"/>
    </row>
    <row r="12385" spans="48:48">
      <c r="AV12385" s="11"/>
    </row>
    <row r="12386" spans="48:48">
      <c r="AV12386" s="11"/>
    </row>
    <row r="12387" spans="48:48">
      <c r="AV12387" s="11"/>
    </row>
    <row r="12388" spans="48:48">
      <c r="AV12388" s="11"/>
    </row>
    <row r="12389" spans="48:48">
      <c r="AV12389" s="11"/>
    </row>
    <row r="12390" spans="48:48">
      <c r="AV12390" s="11"/>
    </row>
    <row r="12391" spans="48:48">
      <c r="AV12391" s="11"/>
    </row>
    <row r="12392" spans="48:48">
      <c r="AV12392" s="11"/>
    </row>
    <row r="12393" spans="48:48">
      <c r="AV12393" s="11"/>
    </row>
    <row r="12394" spans="48:48">
      <c r="AV12394" s="11"/>
    </row>
    <row r="12395" spans="48:48">
      <c r="AV12395" s="11"/>
    </row>
    <row r="12396" spans="48:48">
      <c r="AV12396" s="11"/>
    </row>
    <row r="12397" spans="48:48">
      <c r="AV12397" s="11"/>
    </row>
    <row r="12398" spans="48:48">
      <c r="AV12398" s="11"/>
    </row>
    <row r="12399" spans="48:48">
      <c r="AV12399" s="11"/>
    </row>
    <row r="12400" spans="48:48">
      <c r="AV12400" s="11"/>
    </row>
    <row r="12401" spans="48:48">
      <c r="AV12401" s="11"/>
    </row>
    <row r="12402" spans="48:48">
      <c r="AV12402" s="11"/>
    </row>
    <row r="12403" spans="48:48">
      <c r="AV12403" s="11"/>
    </row>
    <row r="12404" spans="48:48">
      <c r="AV12404" s="11"/>
    </row>
    <row r="12405" spans="48:48">
      <c r="AV12405" s="11"/>
    </row>
    <row r="12406" spans="48:48">
      <c r="AV12406" s="11"/>
    </row>
    <row r="12407" spans="48:48">
      <c r="AV12407" s="11"/>
    </row>
    <row r="12408" spans="48:48">
      <c r="AV12408" s="11"/>
    </row>
    <row r="12409" spans="48:48">
      <c r="AV12409" s="11"/>
    </row>
    <row r="12410" spans="48:48">
      <c r="AV12410" s="11"/>
    </row>
    <row r="12411" spans="48:48">
      <c r="AV12411" s="11"/>
    </row>
    <row r="12412" spans="48:48">
      <c r="AV12412" s="11"/>
    </row>
    <row r="12413" spans="48:48">
      <c r="AV12413" s="11"/>
    </row>
    <row r="12414" spans="48:48">
      <c r="AV12414" s="11"/>
    </row>
    <row r="12415" spans="48:48">
      <c r="AV12415" s="11"/>
    </row>
    <row r="12416" spans="48:48">
      <c r="AV12416" s="11"/>
    </row>
    <row r="12417" spans="48:48">
      <c r="AV12417" s="11"/>
    </row>
    <row r="12418" spans="48:48">
      <c r="AV12418" s="11"/>
    </row>
    <row r="12419" spans="48:48">
      <c r="AV12419" s="11"/>
    </row>
    <row r="12420" spans="48:48">
      <c r="AV12420" s="11"/>
    </row>
    <row r="12421" spans="48:48">
      <c r="AV12421" s="11"/>
    </row>
    <row r="12422" spans="48:48">
      <c r="AV12422" s="11"/>
    </row>
    <row r="12423" spans="48:48">
      <c r="AV12423" s="11"/>
    </row>
    <row r="12424" spans="48:48">
      <c r="AV12424" s="11"/>
    </row>
    <row r="12425" spans="48:48">
      <c r="AV12425" s="11"/>
    </row>
    <row r="12426" spans="48:48">
      <c r="AV12426" s="11"/>
    </row>
    <row r="12427" spans="48:48">
      <c r="AV12427" s="11"/>
    </row>
    <row r="12428" spans="48:48">
      <c r="AV12428" s="11"/>
    </row>
    <row r="12429" spans="48:48">
      <c r="AV12429" s="11"/>
    </row>
    <row r="12430" spans="48:48">
      <c r="AV12430" s="11"/>
    </row>
    <row r="12431" spans="48:48">
      <c r="AV12431" s="11"/>
    </row>
    <row r="12432" spans="48:48">
      <c r="AV12432" s="11"/>
    </row>
    <row r="12433" spans="48:48">
      <c r="AV12433" s="11"/>
    </row>
    <row r="12434" spans="48:48">
      <c r="AV12434" s="11"/>
    </row>
    <row r="12435" spans="48:48">
      <c r="AV12435" s="11"/>
    </row>
    <row r="12436" spans="48:48">
      <c r="AV12436" s="11"/>
    </row>
    <row r="12437" spans="48:48">
      <c r="AV12437" s="11"/>
    </row>
    <row r="12438" spans="48:48">
      <c r="AV12438" s="11"/>
    </row>
    <row r="12439" spans="48:48">
      <c r="AV12439" s="11"/>
    </row>
    <row r="12440" spans="48:48">
      <c r="AV12440" s="11"/>
    </row>
    <row r="12441" spans="48:48">
      <c r="AV12441" s="11"/>
    </row>
    <row r="12442" spans="48:48">
      <c r="AV12442" s="11"/>
    </row>
    <row r="12443" spans="48:48">
      <c r="AV12443" s="11"/>
    </row>
    <row r="12444" spans="48:48">
      <c r="AV12444" s="11"/>
    </row>
    <row r="12445" spans="48:48">
      <c r="AV12445" s="11"/>
    </row>
    <row r="12446" spans="48:48">
      <c r="AV12446" s="11"/>
    </row>
    <row r="12447" spans="48:48">
      <c r="AV12447" s="11"/>
    </row>
    <row r="12448" spans="48:48">
      <c r="AV12448" s="11"/>
    </row>
    <row r="12449" spans="48:48">
      <c r="AV12449" s="11"/>
    </row>
    <row r="12450" spans="48:48">
      <c r="AV12450" s="11"/>
    </row>
    <row r="12451" spans="48:48">
      <c r="AV12451" s="11"/>
    </row>
    <row r="12452" spans="48:48">
      <c r="AV12452" s="11"/>
    </row>
    <row r="12453" spans="48:48">
      <c r="AV12453" s="11"/>
    </row>
    <row r="12454" spans="48:48">
      <c r="AV12454" s="11"/>
    </row>
    <row r="12455" spans="48:48">
      <c r="AV12455" s="11"/>
    </row>
    <row r="12456" spans="48:48">
      <c r="AV12456" s="11"/>
    </row>
    <row r="12457" spans="48:48">
      <c r="AV12457" s="11"/>
    </row>
    <row r="12458" spans="48:48">
      <c r="AV12458" s="11"/>
    </row>
    <row r="12459" spans="48:48">
      <c r="AV12459" s="11"/>
    </row>
    <row r="12460" spans="48:48">
      <c r="AV12460" s="11"/>
    </row>
    <row r="12461" spans="48:48">
      <c r="AV12461" s="11"/>
    </row>
    <row r="12462" spans="48:48">
      <c r="AV12462" s="11"/>
    </row>
    <row r="12463" spans="48:48">
      <c r="AV12463" s="11"/>
    </row>
    <row r="12464" spans="48:48">
      <c r="AV12464" s="11"/>
    </row>
    <row r="12465" spans="48:48">
      <c r="AV12465" s="11"/>
    </row>
    <row r="12466" spans="48:48">
      <c r="AV12466" s="11"/>
    </row>
    <row r="12467" spans="48:48">
      <c r="AV12467" s="11"/>
    </row>
    <row r="12468" spans="48:48">
      <c r="AV12468" s="11"/>
    </row>
    <row r="12469" spans="48:48">
      <c r="AV12469" s="11"/>
    </row>
    <row r="12470" spans="48:48">
      <c r="AV12470" s="11"/>
    </row>
    <row r="12471" spans="48:48">
      <c r="AV12471" s="11"/>
    </row>
    <row r="12472" spans="48:48">
      <c r="AV12472" s="11"/>
    </row>
    <row r="12473" spans="48:48">
      <c r="AV12473" s="11"/>
    </row>
    <row r="12474" spans="48:48">
      <c r="AV12474" s="11"/>
    </row>
    <row r="12475" spans="48:48">
      <c r="AV12475" s="11"/>
    </row>
    <row r="12476" spans="48:48">
      <c r="AV12476" s="11"/>
    </row>
    <row r="12477" spans="48:48">
      <c r="AV12477" s="11"/>
    </row>
    <row r="12478" spans="48:48">
      <c r="AV12478" s="11"/>
    </row>
    <row r="12479" spans="48:48">
      <c r="AV12479" s="11"/>
    </row>
    <row r="12480" spans="48:48">
      <c r="AV12480" s="11"/>
    </row>
    <row r="12481" spans="48:48">
      <c r="AV12481" s="11"/>
    </row>
    <row r="12482" spans="48:48">
      <c r="AV12482" s="11"/>
    </row>
    <row r="12483" spans="48:48">
      <c r="AV12483" s="11"/>
    </row>
    <row r="12484" spans="48:48">
      <c r="AV12484" s="11"/>
    </row>
    <row r="12485" spans="48:48">
      <c r="AV12485" s="11"/>
    </row>
    <row r="12486" spans="48:48">
      <c r="AV12486" s="11"/>
    </row>
    <row r="12487" spans="48:48">
      <c r="AV12487" s="11"/>
    </row>
    <row r="12488" spans="48:48">
      <c r="AV12488" s="11"/>
    </row>
    <row r="12489" spans="48:48">
      <c r="AV12489" s="11"/>
    </row>
    <row r="12490" spans="48:48">
      <c r="AV12490" s="11"/>
    </row>
    <row r="12491" spans="48:48">
      <c r="AV12491" s="11"/>
    </row>
    <row r="12492" spans="48:48">
      <c r="AV12492" s="11"/>
    </row>
    <row r="12493" spans="48:48">
      <c r="AV12493" s="11"/>
    </row>
    <row r="12494" spans="48:48">
      <c r="AV12494" s="11"/>
    </row>
    <row r="12495" spans="48:48">
      <c r="AV12495" s="11"/>
    </row>
    <row r="12496" spans="48:48">
      <c r="AV12496" s="11"/>
    </row>
    <row r="12497" spans="48:48">
      <c r="AV12497" s="11"/>
    </row>
    <row r="12498" spans="48:48">
      <c r="AV12498" s="11"/>
    </row>
    <row r="12499" spans="48:48">
      <c r="AV12499" s="11"/>
    </row>
    <row r="12500" spans="48:48">
      <c r="AV12500" s="11"/>
    </row>
    <row r="12501" spans="48:48">
      <c r="AV12501" s="11"/>
    </row>
    <row r="12502" spans="48:48">
      <c r="AV12502" s="11"/>
    </row>
    <row r="12503" spans="48:48">
      <c r="AV12503" s="11"/>
    </row>
    <row r="12504" spans="48:48">
      <c r="AV12504" s="11"/>
    </row>
    <row r="12505" spans="48:48">
      <c r="AV12505" s="11"/>
    </row>
    <row r="12506" spans="48:48">
      <c r="AV12506" s="11"/>
    </row>
    <row r="12507" spans="48:48">
      <c r="AV12507" s="11"/>
    </row>
    <row r="12508" spans="48:48">
      <c r="AV12508" s="11"/>
    </row>
    <row r="12509" spans="48:48">
      <c r="AV12509" s="11"/>
    </row>
    <row r="12510" spans="48:48">
      <c r="AV12510" s="11"/>
    </row>
    <row r="12511" spans="48:48">
      <c r="AV12511" s="11"/>
    </row>
    <row r="12512" spans="48:48">
      <c r="AV12512" s="11"/>
    </row>
    <row r="12513" spans="48:48">
      <c r="AV12513" s="11"/>
    </row>
    <row r="12514" spans="48:48">
      <c r="AV12514" s="11"/>
    </row>
    <row r="12515" spans="48:48">
      <c r="AV12515" s="11"/>
    </row>
    <row r="12516" spans="48:48">
      <c r="AV12516" s="11"/>
    </row>
    <row r="12517" spans="48:48">
      <c r="AV12517" s="11"/>
    </row>
    <row r="12518" spans="48:48">
      <c r="AV12518" s="11"/>
    </row>
    <row r="12519" spans="48:48">
      <c r="AV12519" s="11"/>
    </row>
    <row r="12520" spans="48:48">
      <c r="AV12520" s="11"/>
    </row>
    <row r="12521" spans="48:48">
      <c r="AV12521" s="11"/>
    </row>
    <row r="12522" spans="48:48">
      <c r="AV12522" s="11"/>
    </row>
    <row r="12523" spans="48:48">
      <c r="AV12523" s="11"/>
    </row>
    <row r="12524" spans="48:48">
      <c r="AV12524" s="11"/>
    </row>
    <row r="12525" spans="48:48">
      <c r="AV12525" s="11"/>
    </row>
    <row r="12526" spans="48:48">
      <c r="AV12526" s="11"/>
    </row>
    <row r="12527" spans="48:48">
      <c r="AV12527" s="11"/>
    </row>
    <row r="12528" spans="48:48">
      <c r="AV12528" s="11"/>
    </row>
    <row r="12529" spans="48:48">
      <c r="AV12529" s="11"/>
    </row>
    <row r="12530" spans="48:48">
      <c r="AV12530" s="11"/>
    </row>
    <row r="12531" spans="48:48">
      <c r="AV12531" s="11"/>
    </row>
    <row r="12532" spans="48:48">
      <c r="AV12532" s="11"/>
    </row>
    <row r="12533" spans="48:48">
      <c r="AV12533" s="11"/>
    </row>
    <row r="12534" spans="48:48">
      <c r="AV12534" s="11"/>
    </row>
    <row r="12535" spans="48:48">
      <c r="AV12535" s="11"/>
    </row>
    <row r="12536" spans="48:48">
      <c r="AV12536" s="11"/>
    </row>
    <row r="12537" spans="48:48">
      <c r="AV12537" s="11"/>
    </row>
    <row r="12538" spans="48:48">
      <c r="AV12538" s="11"/>
    </row>
    <row r="12539" spans="48:48">
      <c r="AV12539" s="11"/>
    </row>
    <row r="12540" spans="48:48">
      <c r="AV12540" s="11"/>
    </row>
    <row r="12541" spans="48:48">
      <c r="AV12541" s="11"/>
    </row>
    <row r="12542" spans="48:48">
      <c r="AV12542" s="11"/>
    </row>
    <row r="12543" spans="48:48">
      <c r="AV12543" s="11"/>
    </row>
    <row r="12544" spans="48:48">
      <c r="AV12544" s="11"/>
    </row>
    <row r="12545" spans="27:48">
      <c r="AV12545" s="11"/>
    </row>
    <row r="12546" spans="27:48">
      <c r="AV12546" s="11"/>
    </row>
    <row r="12547" spans="27:48">
      <c r="AV12547" s="11"/>
    </row>
    <row r="12548" spans="27:48">
      <c r="AV12548" s="11"/>
    </row>
    <row r="12549" spans="27:48">
      <c r="AV12549" s="11"/>
    </row>
    <row r="12550" spans="27:48">
      <c r="AV12550" s="11"/>
    </row>
    <row r="12551" spans="27:48">
      <c r="AV12551" s="11"/>
    </row>
    <row r="12552" spans="27:48">
      <c r="AV12552" s="11"/>
    </row>
    <row r="12553" spans="27:48">
      <c r="AV12553" s="11"/>
    </row>
    <row r="12554" spans="27:48">
      <c r="AA12554" s="4"/>
    </row>
    <row r="12555" spans="27:48">
      <c r="AA12555" s="4"/>
    </row>
    <row r="12556" spans="27:48">
      <c r="AA12556" s="4"/>
    </row>
    <row r="12557" spans="27:48">
      <c r="AA12557" s="4"/>
    </row>
    <row r="12558" spans="27:48">
      <c r="AA12558" s="4"/>
    </row>
    <row r="12559" spans="27:48">
      <c r="AA12559" s="4"/>
    </row>
    <row r="12560" spans="27:48">
      <c r="AA12560" s="4"/>
    </row>
    <row r="12561" spans="27:27">
      <c r="AA12561" s="4"/>
    </row>
    <row r="12562" spans="27:27">
      <c r="AA12562" s="4"/>
    </row>
    <row r="12563" spans="27:27">
      <c r="AA12563" s="4"/>
    </row>
    <row r="12564" spans="27:27">
      <c r="AA12564" s="4"/>
    </row>
    <row r="12565" spans="27:27">
      <c r="AA12565" s="4"/>
    </row>
    <row r="12566" spans="27:27">
      <c r="AA12566" s="4"/>
    </row>
    <row r="12567" spans="27:27">
      <c r="AA12567" s="4"/>
    </row>
    <row r="12568" spans="27:27">
      <c r="AA12568" s="4"/>
    </row>
    <row r="12569" spans="27:27">
      <c r="AA12569" s="4"/>
    </row>
    <row r="12570" spans="27:27">
      <c r="AA12570" s="4"/>
    </row>
    <row r="12571" spans="27:27">
      <c r="AA12571" s="4"/>
    </row>
    <row r="12572" spans="27:27">
      <c r="AA12572" s="4"/>
    </row>
    <row r="12573" spans="27:27">
      <c r="AA12573" s="4"/>
    </row>
    <row r="12574" spans="27:27">
      <c r="AA12574" s="4"/>
    </row>
    <row r="12575" spans="27:27">
      <c r="AA12575" s="4"/>
    </row>
    <row r="12576" spans="27:27">
      <c r="AA12576" s="4"/>
    </row>
    <row r="12577" spans="27:27">
      <c r="AA12577" s="4"/>
    </row>
    <row r="12578" spans="27:27">
      <c r="AA12578" s="4"/>
    </row>
    <row r="12579" spans="27:27">
      <c r="AA12579" s="4"/>
    </row>
    <row r="12580" spans="27:27">
      <c r="AA12580" s="4"/>
    </row>
    <row r="12581" spans="27:27">
      <c r="AA12581" s="4"/>
    </row>
    <row r="12582" spans="27:27">
      <c r="AA12582" s="4"/>
    </row>
    <row r="12583" spans="27:27">
      <c r="AA12583" s="4"/>
    </row>
    <row r="12584" spans="27:27">
      <c r="AA12584" s="4"/>
    </row>
    <row r="12585" spans="27:27">
      <c r="AA12585" s="4"/>
    </row>
    <row r="12586" spans="27:27">
      <c r="AA12586" s="4"/>
    </row>
    <row r="12587" spans="27:27">
      <c r="AA12587" s="4"/>
    </row>
    <row r="12588" spans="27:27">
      <c r="AA12588" s="4"/>
    </row>
    <row r="12589" spans="27:27">
      <c r="AA12589" s="4"/>
    </row>
    <row r="12590" spans="27:27">
      <c r="AA12590" s="4"/>
    </row>
    <row r="12591" spans="27:27">
      <c r="AA12591" s="4"/>
    </row>
    <row r="12592" spans="27:27">
      <c r="AA12592" s="4"/>
    </row>
    <row r="12593" spans="27:27">
      <c r="AA12593" s="4"/>
    </row>
    <row r="12594" spans="27:27">
      <c r="AA12594" s="4"/>
    </row>
    <row r="12595" spans="27:27">
      <c r="AA12595" s="4"/>
    </row>
    <row r="12596" spans="27:27">
      <c r="AA12596" s="4"/>
    </row>
    <row r="12597" spans="27:27">
      <c r="AA12597" s="4"/>
    </row>
    <row r="12598" spans="27:27">
      <c r="AA12598" s="4"/>
    </row>
    <row r="12599" spans="27:27">
      <c r="AA12599" s="4"/>
    </row>
    <row r="12600" spans="27:27">
      <c r="AA12600" s="4"/>
    </row>
    <row r="12601" spans="27:27">
      <c r="AA12601" s="4"/>
    </row>
    <row r="12602" spans="27:27">
      <c r="AA12602" s="4"/>
    </row>
    <row r="12603" spans="27:27">
      <c r="AA12603" s="4"/>
    </row>
    <row r="12604" spans="27:27">
      <c r="AA12604" s="4"/>
    </row>
    <row r="12605" spans="27:27">
      <c r="AA12605" s="4"/>
    </row>
    <row r="12606" spans="27:27">
      <c r="AA12606" s="4"/>
    </row>
    <row r="12607" spans="27:27">
      <c r="AA12607" s="4"/>
    </row>
    <row r="12608" spans="27:27">
      <c r="AA12608" s="4"/>
    </row>
    <row r="12609" spans="27:27">
      <c r="AA12609" s="4"/>
    </row>
    <row r="12610" spans="27:27">
      <c r="AA12610" s="4"/>
    </row>
    <row r="12611" spans="27:27">
      <c r="AA12611" s="4"/>
    </row>
    <row r="12612" spans="27:27">
      <c r="AA12612" s="4"/>
    </row>
    <row r="12613" spans="27:27">
      <c r="AA12613" s="4"/>
    </row>
    <row r="12614" spans="27:27">
      <c r="AA12614" s="4"/>
    </row>
    <row r="12615" spans="27:27">
      <c r="AA12615" s="4"/>
    </row>
    <row r="12616" spans="27:27">
      <c r="AA12616" s="4"/>
    </row>
    <row r="12617" spans="27:27">
      <c r="AA12617" s="4"/>
    </row>
    <row r="12618" spans="27:27">
      <c r="AA12618" s="4"/>
    </row>
    <row r="12619" spans="27:27">
      <c r="AA12619" s="4"/>
    </row>
    <row r="12620" spans="27:27">
      <c r="AA12620" s="4"/>
    </row>
    <row r="12621" spans="27:27">
      <c r="AA12621" s="4"/>
    </row>
    <row r="12622" spans="27:27">
      <c r="AA12622" s="4"/>
    </row>
    <row r="12623" spans="27:27">
      <c r="AA12623" s="4"/>
    </row>
    <row r="12624" spans="27:27">
      <c r="AA12624" s="4"/>
    </row>
    <row r="12625" spans="27:27">
      <c r="AA12625" s="4"/>
    </row>
    <row r="12626" spans="27:27">
      <c r="AA12626" s="4"/>
    </row>
    <row r="12627" spans="27:27">
      <c r="AA12627" s="4"/>
    </row>
    <row r="12628" spans="27:27">
      <c r="AA12628" s="4"/>
    </row>
    <row r="12629" spans="27:27">
      <c r="AA12629" s="4"/>
    </row>
    <row r="12630" spans="27:27">
      <c r="AA12630" s="4"/>
    </row>
    <row r="12631" spans="27:27">
      <c r="AA12631" s="4"/>
    </row>
    <row r="12632" spans="27:27">
      <c r="AA12632" s="4"/>
    </row>
    <row r="12633" spans="27:27">
      <c r="AA12633" s="4"/>
    </row>
    <row r="12634" spans="27:27">
      <c r="AA12634" s="4"/>
    </row>
    <row r="12635" spans="27:27">
      <c r="AA12635" s="4"/>
    </row>
    <row r="12636" spans="27:27">
      <c r="AA12636" s="4"/>
    </row>
    <row r="12637" spans="27:27">
      <c r="AA12637" s="4"/>
    </row>
    <row r="12638" spans="27:27">
      <c r="AA12638" s="4"/>
    </row>
    <row r="12639" spans="27:27">
      <c r="AA12639" s="4"/>
    </row>
    <row r="12640" spans="27:27">
      <c r="AA12640" s="4"/>
    </row>
    <row r="12641" spans="27:27">
      <c r="AA12641" s="4"/>
    </row>
    <row r="12642" spans="27:27">
      <c r="AA12642" s="4"/>
    </row>
    <row r="12643" spans="27:27">
      <c r="AA12643" s="4"/>
    </row>
    <row r="12644" spans="27:27">
      <c r="AA12644" s="4"/>
    </row>
    <row r="12645" spans="27:27">
      <c r="AA12645" s="4"/>
    </row>
    <row r="12646" spans="27:27">
      <c r="AA12646" s="4"/>
    </row>
    <row r="12647" spans="27:27">
      <c r="AA12647" s="4"/>
    </row>
    <row r="12648" spans="27:27">
      <c r="AA12648" s="4"/>
    </row>
    <row r="12649" spans="27:27">
      <c r="AA12649" s="4"/>
    </row>
    <row r="12650" spans="27:27">
      <c r="AA12650" s="4"/>
    </row>
    <row r="12651" spans="27:27">
      <c r="AA12651" s="4"/>
    </row>
    <row r="12652" spans="27:27">
      <c r="AA12652" s="4"/>
    </row>
    <row r="12653" spans="27:27">
      <c r="AA12653" s="4"/>
    </row>
    <row r="12654" spans="27:27">
      <c r="AA12654" s="4"/>
    </row>
    <row r="12655" spans="27:27">
      <c r="AA12655" s="4"/>
    </row>
    <row r="12656" spans="27:27">
      <c r="AA12656" s="4"/>
    </row>
    <row r="12657" spans="27:27">
      <c r="AA12657" s="4"/>
    </row>
    <row r="12658" spans="27:27">
      <c r="AA12658" s="4"/>
    </row>
    <row r="12659" spans="27:27">
      <c r="AA12659" s="4"/>
    </row>
    <row r="12660" spans="27:27">
      <c r="AA12660" s="4"/>
    </row>
    <row r="12661" spans="27:27">
      <c r="AA12661" s="4"/>
    </row>
    <row r="12662" spans="27:27">
      <c r="AA12662" s="4"/>
    </row>
    <row r="12663" spans="27:27">
      <c r="AA12663" s="4"/>
    </row>
    <row r="12664" spans="27:27">
      <c r="AA12664" s="4"/>
    </row>
    <row r="12665" spans="27:27">
      <c r="AA12665" s="4"/>
    </row>
    <row r="12666" spans="27:27">
      <c r="AA12666" s="4"/>
    </row>
    <row r="12667" spans="27:27">
      <c r="AA12667" s="4"/>
    </row>
    <row r="12668" spans="27:27">
      <c r="AA12668" s="4"/>
    </row>
    <row r="12669" spans="27:27">
      <c r="AA12669" s="4"/>
    </row>
    <row r="12670" spans="27:27">
      <c r="AA12670" s="4"/>
    </row>
    <row r="12671" spans="27:27">
      <c r="AA12671" s="4"/>
    </row>
    <row r="12672" spans="27:27">
      <c r="AA12672" s="4"/>
    </row>
    <row r="12673" spans="27:27">
      <c r="AA12673" s="4"/>
    </row>
    <row r="12674" spans="27:27">
      <c r="AA12674" s="4"/>
    </row>
    <row r="12675" spans="27:27">
      <c r="AA12675" s="4"/>
    </row>
    <row r="12676" spans="27:27">
      <c r="AA12676" s="4"/>
    </row>
    <row r="12677" spans="27:27">
      <c r="AA12677" s="4"/>
    </row>
    <row r="12678" spans="27:27">
      <c r="AA12678" s="4"/>
    </row>
    <row r="12679" spans="27:27">
      <c r="AA12679" s="4"/>
    </row>
    <row r="12680" spans="27:27">
      <c r="AA12680" s="4"/>
    </row>
    <row r="12681" spans="27:27">
      <c r="AA12681" s="4"/>
    </row>
    <row r="12682" spans="27:27">
      <c r="AA12682" s="4"/>
    </row>
    <row r="12683" spans="27:27">
      <c r="AA12683" s="4"/>
    </row>
    <row r="12684" spans="27:27">
      <c r="AA12684" s="4"/>
    </row>
    <row r="12685" spans="27:27">
      <c r="AA12685" s="4"/>
    </row>
    <row r="12686" spans="27:27">
      <c r="AA12686" s="4"/>
    </row>
    <row r="12687" spans="27:27">
      <c r="AA12687" s="4"/>
    </row>
    <row r="12688" spans="27:27">
      <c r="AA12688" s="4"/>
    </row>
    <row r="12689" spans="27:27">
      <c r="AA12689" s="4"/>
    </row>
    <row r="12690" spans="27:27">
      <c r="AA12690" s="4"/>
    </row>
    <row r="12691" spans="27:27">
      <c r="AA12691" s="4"/>
    </row>
    <row r="12692" spans="27:27">
      <c r="AA12692" s="4"/>
    </row>
    <row r="12693" spans="27:27">
      <c r="AA12693" s="4"/>
    </row>
    <row r="12694" spans="27:27">
      <c r="AA12694" s="4"/>
    </row>
    <row r="12695" spans="27:27">
      <c r="AA12695" s="4"/>
    </row>
    <row r="12696" spans="27:27">
      <c r="AA12696" s="4"/>
    </row>
    <row r="12697" spans="27:27">
      <c r="AA12697" s="4"/>
    </row>
    <row r="12698" spans="27:27">
      <c r="AA12698" s="4"/>
    </row>
    <row r="12699" spans="27:27">
      <c r="AA12699" s="4"/>
    </row>
    <row r="12700" spans="27:27">
      <c r="AA12700" s="4"/>
    </row>
    <row r="12701" spans="27:27">
      <c r="AA12701" s="4"/>
    </row>
    <row r="12702" spans="27:27">
      <c r="AA12702" s="4"/>
    </row>
    <row r="12703" spans="27:27">
      <c r="AA12703" s="4"/>
    </row>
    <row r="12704" spans="27:27">
      <c r="AA12704" s="4"/>
    </row>
    <row r="12705" spans="27:27">
      <c r="AA12705" s="4"/>
    </row>
    <row r="12706" spans="27:27">
      <c r="AA12706" s="4"/>
    </row>
    <row r="12707" spans="27:27">
      <c r="AA12707" s="4"/>
    </row>
    <row r="12708" spans="27:27">
      <c r="AA12708" s="4"/>
    </row>
    <row r="12709" spans="27:27">
      <c r="AA12709" s="4"/>
    </row>
    <row r="12710" spans="27:27">
      <c r="AA12710" s="4"/>
    </row>
    <row r="12711" spans="27:27">
      <c r="AA12711" s="4"/>
    </row>
    <row r="12712" spans="27:27">
      <c r="AA12712" s="4"/>
    </row>
    <row r="12713" spans="27:27">
      <c r="AA12713" s="4"/>
    </row>
    <row r="12714" spans="27:27">
      <c r="AA12714" s="4"/>
    </row>
    <row r="12715" spans="27:27">
      <c r="AA12715" s="4"/>
    </row>
    <row r="12716" spans="27:27">
      <c r="AA12716" s="4"/>
    </row>
    <row r="12717" spans="27:27">
      <c r="AA12717" s="4"/>
    </row>
    <row r="12718" spans="27:27">
      <c r="AA12718" s="4"/>
    </row>
    <row r="12719" spans="27:27">
      <c r="AA12719" s="4"/>
    </row>
    <row r="12720" spans="27:27">
      <c r="AA12720" s="4"/>
    </row>
    <row r="12721" spans="27:27">
      <c r="AA12721" s="4"/>
    </row>
    <row r="12722" spans="27:27">
      <c r="AA12722" s="4"/>
    </row>
    <row r="12723" spans="27:27">
      <c r="AA12723" s="4"/>
    </row>
    <row r="12724" spans="27:27">
      <c r="AA12724" s="4"/>
    </row>
    <row r="12725" spans="27:27">
      <c r="AA12725" s="4"/>
    </row>
    <row r="12726" spans="27:27">
      <c r="AA12726" s="4"/>
    </row>
    <row r="12727" spans="27:27">
      <c r="AA12727" s="4"/>
    </row>
    <row r="12728" spans="27:27">
      <c r="AA12728" s="4"/>
    </row>
    <row r="12729" spans="27:27">
      <c r="AA12729" s="4"/>
    </row>
    <row r="12730" spans="27:27">
      <c r="AA12730" s="4"/>
    </row>
    <row r="12731" spans="27:27">
      <c r="AA12731" s="4"/>
    </row>
    <row r="12732" spans="27:27">
      <c r="AA12732" s="4"/>
    </row>
    <row r="12733" spans="27:27">
      <c r="AA12733" s="4"/>
    </row>
    <row r="12734" spans="27:27">
      <c r="AA12734" s="4"/>
    </row>
    <row r="12735" spans="27:27">
      <c r="AA12735" s="4"/>
    </row>
    <row r="12736" spans="27:27">
      <c r="AA12736" s="4"/>
    </row>
    <row r="12737" spans="27:27">
      <c r="AA12737" s="4"/>
    </row>
    <row r="12738" spans="27:27">
      <c r="AA12738" s="4"/>
    </row>
    <row r="12739" spans="27:27">
      <c r="AA12739" s="4"/>
    </row>
    <row r="12740" spans="27:27">
      <c r="AA12740" s="4"/>
    </row>
    <row r="12741" spans="27:27">
      <c r="AA12741" s="4"/>
    </row>
    <row r="12742" spans="27:27">
      <c r="AA12742" s="4"/>
    </row>
    <row r="12743" spans="27:27">
      <c r="AA12743" s="4"/>
    </row>
    <row r="12744" spans="27:27">
      <c r="AA12744" s="4"/>
    </row>
    <row r="12745" spans="27:27">
      <c r="AA12745" s="4"/>
    </row>
    <row r="12746" spans="27:27">
      <c r="AA12746" s="4"/>
    </row>
    <row r="12747" spans="27:27">
      <c r="AA12747" s="4"/>
    </row>
    <row r="12748" spans="27:27">
      <c r="AA12748" s="4"/>
    </row>
    <row r="12749" spans="27:27">
      <c r="AA12749" s="4"/>
    </row>
    <row r="12750" spans="27:27">
      <c r="AA12750" s="4"/>
    </row>
    <row r="12751" spans="27:27">
      <c r="AA12751" s="4"/>
    </row>
    <row r="12752" spans="27:27">
      <c r="AA12752" s="4"/>
    </row>
    <row r="12753" spans="27:27">
      <c r="AA12753" s="4"/>
    </row>
    <row r="12754" spans="27:27">
      <c r="AA12754" s="4"/>
    </row>
    <row r="12755" spans="27:27">
      <c r="AA12755" s="4"/>
    </row>
    <row r="12756" spans="27:27">
      <c r="AA12756" s="4"/>
    </row>
    <row r="12757" spans="27:27">
      <c r="AA12757" s="4"/>
    </row>
    <row r="12758" spans="27:27">
      <c r="AA12758" s="4"/>
    </row>
    <row r="12759" spans="27:27">
      <c r="AA12759" s="4"/>
    </row>
    <row r="12760" spans="27:27">
      <c r="AA12760" s="4"/>
    </row>
    <row r="12761" spans="27:27">
      <c r="AA12761" s="4"/>
    </row>
    <row r="12762" spans="27:27">
      <c r="AA12762" s="4"/>
    </row>
    <row r="12763" spans="27:27">
      <c r="AA12763" s="4"/>
    </row>
    <row r="12764" spans="27:27">
      <c r="AA12764" s="4"/>
    </row>
    <row r="12765" spans="27:27">
      <c r="AA12765" s="4"/>
    </row>
    <row r="12766" spans="27:27">
      <c r="AA12766" s="4"/>
    </row>
    <row r="12767" spans="27:27">
      <c r="AA12767" s="4"/>
    </row>
    <row r="12768" spans="27:27">
      <c r="AA12768" s="4"/>
    </row>
    <row r="12769" spans="27:27">
      <c r="AA12769" s="4"/>
    </row>
    <row r="12770" spans="27:27">
      <c r="AA12770" s="4"/>
    </row>
    <row r="12771" spans="27:27">
      <c r="AA12771" s="4"/>
    </row>
    <row r="12772" spans="27:27">
      <c r="AA12772" s="4"/>
    </row>
    <row r="12773" spans="27:27">
      <c r="AA12773" s="4"/>
    </row>
    <row r="12774" spans="27:27">
      <c r="AA12774" s="4"/>
    </row>
    <row r="12775" spans="27:27">
      <c r="AA12775" s="4"/>
    </row>
    <row r="12776" spans="27:27">
      <c r="AA12776" s="4"/>
    </row>
    <row r="12777" spans="27:27">
      <c r="AA12777" s="4"/>
    </row>
    <row r="12778" spans="27:27">
      <c r="AA12778" s="4"/>
    </row>
    <row r="12779" spans="27:27">
      <c r="AA12779" s="4"/>
    </row>
    <row r="12780" spans="27:27">
      <c r="AA12780" s="4"/>
    </row>
    <row r="12781" spans="27:27">
      <c r="AA12781" s="4"/>
    </row>
    <row r="12782" spans="27:27">
      <c r="AA12782" s="4"/>
    </row>
    <row r="12783" spans="27:27">
      <c r="AA12783" s="4"/>
    </row>
    <row r="12784" spans="27:27">
      <c r="AA12784" s="4"/>
    </row>
    <row r="12785" spans="27:27">
      <c r="AA12785" s="4"/>
    </row>
    <row r="12786" spans="27:27">
      <c r="AA12786" s="4"/>
    </row>
    <row r="12787" spans="27:27">
      <c r="AA12787" s="4"/>
    </row>
    <row r="12788" spans="27:27">
      <c r="AA12788" s="4"/>
    </row>
    <row r="12789" spans="27:27">
      <c r="AA12789" s="4"/>
    </row>
    <row r="12790" spans="27:27">
      <c r="AA12790" s="4"/>
    </row>
    <row r="12791" spans="27:27">
      <c r="AA12791" s="4"/>
    </row>
    <row r="12792" spans="27:27">
      <c r="AA12792" s="4"/>
    </row>
    <row r="12793" spans="27:27">
      <c r="AA12793" s="4"/>
    </row>
    <row r="12794" spans="27:27">
      <c r="AA12794" s="4"/>
    </row>
    <row r="12795" spans="27:27">
      <c r="AA12795" s="4"/>
    </row>
    <row r="12796" spans="27:27">
      <c r="AA12796" s="4"/>
    </row>
    <row r="12797" spans="27:27">
      <c r="AA12797" s="4"/>
    </row>
    <row r="12798" spans="27:27">
      <c r="AA12798" s="4"/>
    </row>
    <row r="12799" spans="27:27">
      <c r="AA12799" s="4"/>
    </row>
    <row r="12800" spans="27:27">
      <c r="AA12800" s="4"/>
    </row>
    <row r="12801" spans="27:27">
      <c r="AA12801" s="4"/>
    </row>
    <row r="12802" spans="27:27">
      <c r="AA12802" s="4"/>
    </row>
    <row r="12803" spans="27:27">
      <c r="AA12803" s="4"/>
    </row>
    <row r="12804" spans="27:27">
      <c r="AA12804" s="4"/>
    </row>
    <row r="12805" spans="27:27">
      <c r="AA12805" s="4"/>
    </row>
    <row r="12806" spans="27:27">
      <c r="AA12806" s="4"/>
    </row>
    <row r="12807" spans="27:27">
      <c r="AA12807" s="4"/>
    </row>
    <row r="12808" spans="27:27">
      <c r="AA12808" s="4"/>
    </row>
    <row r="12809" spans="27:27">
      <c r="AA12809" s="4"/>
    </row>
    <row r="12810" spans="27:27">
      <c r="AA12810" s="4"/>
    </row>
    <row r="12811" spans="27:27">
      <c r="AA12811" s="4"/>
    </row>
    <row r="12812" spans="27:27">
      <c r="AA12812" s="4"/>
    </row>
    <row r="12813" spans="27:27">
      <c r="AA12813" s="4"/>
    </row>
    <row r="12814" spans="27:27">
      <c r="AA12814" s="4"/>
    </row>
    <row r="12815" spans="27:27">
      <c r="AA12815" s="4"/>
    </row>
    <row r="12816" spans="27:27">
      <c r="AA12816" s="4"/>
    </row>
    <row r="12817" spans="27:27">
      <c r="AA12817" s="4"/>
    </row>
    <row r="12818" spans="27:27">
      <c r="AA12818" s="4"/>
    </row>
    <row r="12819" spans="27:27">
      <c r="AA12819" s="4"/>
    </row>
    <row r="12820" spans="27:27">
      <c r="AA12820" s="4"/>
    </row>
    <row r="12821" spans="27:27">
      <c r="AA12821" s="4"/>
    </row>
    <row r="12822" spans="27:27">
      <c r="AA12822" s="4"/>
    </row>
    <row r="12823" spans="27:27">
      <c r="AA12823" s="4"/>
    </row>
    <row r="12824" spans="27:27">
      <c r="AA12824" s="4"/>
    </row>
    <row r="12825" spans="27:27">
      <c r="AA12825" s="4"/>
    </row>
    <row r="12826" spans="27:27">
      <c r="AA12826" s="4"/>
    </row>
    <row r="12827" spans="27:27">
      <c r="AA12827" s="4"/>
    </row>
    <row r="12828" spans="27:27">
      <c r="AA12828" s="4"/>
    </row>
    <row r="12829" spans="27:27">
      <c r="AA12829" s="4"/>
    </row>
    <row r="12830" spans="27:27">
      <c r="AA12830" s="4"/>
    </row>
    <row r="12831" spans="27:27">
      <c r="AA12831" s="4"/>
    </row>
    <row r="12832" spans="27:27">
      <c r="AA12832" s="4"/>
    </row>
    <row r="12833" spans="27:27">
      <c r="AA12833" s="4"/>
    </row>
    <row r="12834" spans="27:27">
      <c r="AA12834" s="4"/>
    </row>
    <row r="12835" spans="27:27">
      <c r="AA12835" s="4"/>
    </row>
    <row r="12836" spans="27:27">
      <c r="AA12836" s="4"/>
    </row>
    <row r="12837" spans="27:27">
      <c r="AA12837" s="4"/>
    </row>
    <row r="12838" spans="27:27">
      <c r="AA12838" s="4"/>
    </row>
    <row r="12839" spans="27:27">
      <c r="AA12839" s="4"/>
    </row>
    <row r="12840" spans="27:27">
      <c r="AA12840" s="4"/>
    </row>
    <row r="12841" spans="27:27">
      <c r="AA12841" s="4"/>
    </row>
    <row r="12842" spans="27:27">
      <c r="AA12842" s="4"/>
    </row>
    <row r="12843" spans="27:27">
      <c r="AA12843" s="4"/>
    </row>
    <row r="12844" spans="27:27">
      <c r="AA12844" s="4"/>
    </row>
    <row r="12845" spans="27:27">
      <c r="AA12845" s="4"/>
    </row>
    <row r="12846" spans="27:27">
      <c r="AA12846" s="4"/>
    </row>
    <row r="12847" spans="27:27">
      <c r="AA12847" s="4"/>
    </row>
    <row r="12848" spans="27:27">
      <c r="AA12848" s="4"/>
    </row>
    <row r="12849" spans="27:27">
      <c r="AA12849" s="4"/>
    </row>
    <row r="12850" spans="27:27">
      <c r="AA12850" s="4"/>
    </row>
    <row r="12851" spans="27:27">
      <c r="AA12851" s="4"/>
    </row>
    <row r="12852" spans="27:27">
      <c r="AA12852" s="4"/>
    </row>
    <row r="12853" spans="27:27">
      <c r="AA12853" s="4"/>
    </row>
    <row r="12854" spans="27:27">
      <c r="AA12854" s="4"/>
    </row>
    <row r="12855" spans="27:27">
      <c r="AA12855" s="4"/>
    </row>
    <row r="12856" spans="27:27">
      <c r="AA12856" s="4"/>
    </row>
    <row r="12857" spans="27:27">
      <c r="AA12857" s="4"/>
    </row>
    <row r="12858" spans="27:27">
      <c r="AA12858" s="4"/>
    </row>
    <row r="12859" spans="27:27">
      <c r="AA12859" s="4"/>
    </row>
    <row r="12860" spans="27:27">
      <c r="AA12860" s="4"/>
    </row>
    <row r="12861" spans="27:27">
      <c r="AA12861" s="4"/>
    </row>
    <row r="12862" spans="27:27">
      <c r="AA12862" s="4"/>
    </row>
    <row r="12863" spans="27:27">
      <c r="AA12863" s="4"/>
    </row>
    <row r="12864" spans="27:27">
      <c r="AA12864" s="4"/>
    </row>
    <row r="12865" spans="27:27">
      <c r="AA12865" s="4"/>
    </row>
    <row r="12866" spans="27:27">
      <c r="AA12866" s="4"/>
    </row>
    <row r="12867" spans="27:27">
      <c r="AA12867" s="4"/>
    </row>
    <row r="12868" spans="27:27">
      <c r="AA12868" s="4"/>
    </row>
    <row r="12869" spans="27:27">
      <c r="AA12869" s="4"/>
    </row>
    <row r="12870" spans="27:27">
      <c r="AA12870" s="4"/>
    </row>
    <row r="12871" spans="27:27">
      <c r="AA12871" s="4"/>
    </row>
    <row r="12872" spans="27:27">
      <c r="AA12872" s="4"/>
    </row>
    <row r="12873" spans="27:27">
      <c r="AA12873" s="4"/>
    </row>
    <row r="12934" spans="27:27">
      <c r="AA12934" s="4"/>
    </row>
    <row r="12935" spans="27:27">
      <c r="AA12935" s="4"/>
    </row>
    <row r="12936" spans="27:27">
      <c r="AA12936" s="4"/>
    </row>
    <row r="12937" spans="27:27">
      <c r="AA12937" s="4"/>
    </row>
  </sheetData>
  <autoFilter ref="A1:BD13001"/>
  <sortState ref="A2:BD11988">
    <sortCondition ref="F2:F11988"/>
    <sortCondition ref="K2:K11988"/>
  </sortState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N1646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7" max="9" width="9.140625" style="2"/>
    <col min="11" max="11" width="40.5703125" bestFit="1" customWidth="1"/>
  </cols>
  <sheetData>
    <row r="1" spans="1:14" ht="53.25" customHeight="1">
      <c r="A1" t="s">
        <v>135</v>
      </c>
      <c r="B1" t="s">
        <v>51</v>
      </c>
      <c r="C1" t="s">
        <v>136</v>
      </c>
      <c r="D1" t="s">
        <v>137</v>
      </c>
      <c r="E1" t="s">
        <v>138</v>
      </c>
      <c r="F1" t="s">
        <v>139</v>
      </c>
      <c r="G1" s="2" t="s">
        <v>140</v>
      </c>
      <c r="H1" s="2" t="s">
        <v>141</v>
      </c>
      <c r="I1" s="2" t="s">
        <v>142</v>
      </c>
      <c r="J1" t="s">
        <v>143</v>
      </c>
      <c r="K1" t="s">
        <v>52</v>
      </c>
      <c r="L1" s="2" t="s">
        <v>12</v>
      </c>
      <c r="M1" t="s">
        <v>41</v>
      </c>
      <c r="N1" t="s">
        <v>584</v>
      </c>
    </row>
    <row r="2" spans="1:14">
      <c r="A2">
        <v>7860</v>
      </c>
      <c r="B2" t="s">
        <v>1166</v>
      </c>
      <c r="C2" t="s">
        <v>755</v>
      </c>
      <c r="D2" t="s">
        <v>757</v>
      </c>
      <c r="E2">
        <v>521425</v>
      </c>
      <c r="G2" s="2">
        <v>0.24166666666666667</v>
      </c>
      <c r="H2" s="2">
        <v>0.37222222222222223</v>
      </c>
      <c r="J2">
        <v>2.9379790417570799</v>
      </c>
      <c r="K2" t="s">
        <v>773</v>
      </c>
      <c r="L2" t="str">
        <f t="shared" ref="L2:L65" si="0">RIGHT(LEFT(K2,4),2)</f>
        <v>33</v>
      </c>
      <c r="M2">
        <f t="shared" ref="M2:M65" si="1">IF(I2=0,0,I2-H2)+IF(F2=0,0,G2-F2)</f>
        <v>0</v>
      </c>
      <c r="N2">
        <f t="shared" ref="N2:N65" si="2">(M2-INT(M2))*24</f>
        <v>0</v>
      </c>
    </row>
    <row r="3" spans="1:14">
      <c r="A3">
        <v>7860</v>
      </c>
      <c r="B3" t="s">
        <v>1166</v>
      </c>
      <c r="C3" t="s">
        <v>755</v>
      </c>
      <c r="D3" t="s">
        <v>757</v>
      </c>
      <c r="E3">
        <v>521425</v>
      </c>
      <c r="G3" s="2">
        <v>0.37222222222222223</v>
      </c>
      <c r="H3" s="2">
        <v>0.56736111111111109</v>
      </c>
      <c r="J3">
        <v>4.3913410145411698</v>
      </c>
      <c r="K3" t="s">
        <v>758</v>
      </c>
      <c r="L3" t="str">
        <f t="shared" si="0"/>
        <v>33</v>
      </c>
      <c r="M3">
        <f t="shared" si="1"/>
        <v>0</v>
      </c>
      <c r="N3">
        <f t="shared" si="2"/>
        <v>0</v>
      </c>
    </row>
    <row r="4" spans="1:14">
      <c r="A4">
        <v>7733</v>
      </c>
      <c r="B4" t="s">
        <v>761</v>
      </c>
      <c r="C4" t="s">
        <v>754</v>
      </c>
      <c r="D4" t="s">
        <v>762</v>
      </c>
      <c r="E4">
        <v>356171</v>
      </c>
      <c r="G4" s="2">
        <v>0.30416666666666664</v>
      </c>
      <c r="H4" s="2">
        <v>0.43541666666666662</v>
      </c>
      <c r="J4">
        <v>2.95627670311181</v>
      </c>
      <c r="K4" t="s">
        <v>759</v>
      </c>
      <c r="L4" t="str">
        <f t="shared" si="0"/>
        <v>33</v>
      </c>
      <c r="M4">
        <f t="shared" si="1"/>
        <v>0</v>
      </c>
      <c r="N4">
        <f t="shared" si="2"/>
        <v>0</v>
      </c>
    </row>
    <row r="5" spans="1:14">
      <c r="A5">
        <v>7733</v>
      </c>
      <c r="B5" t="s">
        <v>761</v>
      </c>
      <c r="C5" t="s">
        <v>754</v>
      </c>
      <c r="D5" t="s">
        <v>762</v>
      </c>
      <c r="E5">
        <v>356171</v>
      </c>
      <c r="G5" s="2">
        <v>0.43541666666666662</v>
      </c>
      <c r="H5" s="2">
        <v>0.64583333333333337</v>
      </c>
      <c r="J5">
        <v>4.7394277303856001</v>
      </c>
      <c r="K5" t="s">
        <v>758</v>
      </c>
      <c r="L5" t="str">
        <f t="shared" si="0"/>
        <v>33</v>
      </c>
      <c r="M5">
        <f t="shared" si="1"/>
        <v>0</v>
      </c>
      <c r="N5">
        <f t="shared" si="2"/>
        <v>0</v>
      </c>
    </row>
    <row r="6" spans="1:14">
      <c r="A6">
        <v>7833</v>
      </c>
      <c r="B6" t="s">
        <v>1167</v>
      </c>
      <c r="C6" t="s">
        <v>756</v>
      </c>
      <c r="E6">
        <v>514865</v>
      </c>
      <c r="G6" s="2">
        <v>0.46180555555555558</v>
      </c>
      <c r="H6" s="2">
        <v>0.51458333333333328</v>
      </c>
      <c r="J6">
        <v>1.26965875251507</v>
      </c>
      <c r="K6" t="s">
        <v>759</v>
      </c>
      <c r="L6" t="str">
        <f t="shared" si="0"/>
        <v>33</v>
      </c>
      <c r="M6">
        <f t="shared" si="1"/>
        <v>0</v>
      </c>
      <c r="N6">
        <f t="shared" si="2"/>
        <v>0</v>
      </c>
    </row>
    <row r="7" spans="1:14">
      <c r="A7">
        <v>7833</v>
      </c>
      <c r="B7" t="s">
        <v>1167</v>
      </c>
      <c r="C7" t="s">
        <v>756</v>
      </c>
      <c r="E7">
        <v>514865</v>
      </c>
      <c r="G7" s="2">
        <v>0.51458333333333328</v>
      </c>
      <c r="H7" s="2">
        <v>0.51527777777777783</v>
      </c>
      <c r="J7">
        <v>1.6706036217303599E-2</v>
      </c>
      <c r="K7" t="s">
        <v>833</v>
      </c>
      <c r="L7" t="str">
        <f t="shared" si="0"/>
        <v>33</v>
      </c>
      <c r="M7">
        <f t="shared" si="1"/>
        <v>0</v>
      </c>
      <c r="N7">
        <f t="shared" si="2"/>
        <v>0</v>
      </c>
    </row>
    <row r="8" spans="1:14">
      <c r="A8">
        <v>7833</v>
      </c>
      <c r="B8" t="s">
        <v>1167</v>
      </c>
      <c r="C8" t="s">
        <v>756</v>
      </c>
      <c r="E8">
        <v>514865</v>
      </c>
      <c r="G8" s="2">
        <v>0.51527777777777783</v>
      </c>
      <c r="H8" s="2">
        <v>0.62222222222222223</v>
      </c>
      <c r="J8">
        <v>2.5727295774647501</v>
      </c>
      <c r="K8" t="s">
        <v>763</v>
      </c>
      <c r="L8" t="str">
        <f t="shared" si="0"/>
        <v>33</v>
      </c>
      <c r="M8">
        <f t="shared" si="1"/>
        <v>0</v>
      </c>
      <c r="N8">
        <f t="shared" si="2"/>
        <v>0</v>
      </c>
    </row>
    <row r="9" spans="1:14">
      <c r="A9">
        <v>7833</v>
      </c>
      <c r="B9" t="s">
        <v>1167</v>
      </c>
      <c r="C9" t="s">
        <v>756</v>
      </c>
      <c r="E9">
        <v>514865</v>
      </c>
      <c r="G9" s="2">
        <v>0.62222222222222223</v>
      </c>
      <c r="H9" s="2">
        <v>0.70833333333333337</v>
      </c>
      <c r="J9">
        <v>2.0715484909456401</v>
      </c>
      <c r="K9" t="s">
        <v>786</v>
      </c>
      <c r="L9" t="str">
        <f t="shared" si="0"/>
        <v>33</v>
      </c>
      <c r="M9">
        <f t="shared" si="1"/>
        <v>0</v>
      </c>
      <c r="N9">
        <f t="shared" si="2"/>
        <v>0</v>
      </c>
    </row>
    <row r="10" spans="1:14">
      <c r="A10">
        <v>7261</v>
      </c>
      <c r="B10" t="s">
        <v>765</v>
      </c>
      <c r="C10" t="s">
        <v>754</v>
      </c>
      <c r="D10" t="s">
        <v>766</v>
      </c>
      <c r="E10">
        <v>220908</v>
      </c>
      <c r="G10" s="2">
        <v>0.12430555555555556</v>
      </c>
      <c r="H10" s="2">
        <v>0.41041666666666665</v>
      </c>
      <c r="J10">
        <v>6.5124792013310904</v>
      </c>
      <c r="K10" t="s">
        <v>769</v>
      </c>
      <c r="L10" t="str">
        <f t="shared" si="0"/>
        <v>37</v>
      </c>
      <c r="M10">
        <f t="shared" si="1"/>
        <v>0</v>
      </c>
      <c r="N10">
        <f t="shared" si="2"/>
        <v>0</v>
      </c>
    </row>
    <row r="11" spans="1:14">
      <c r="A11">
        <v>7261</v>
      </c>
      <c r="B11" t="s">
        <v>765</v>
      </c>
      <c r="C11" t="s">
        <v>754</v>
      </c>
      <c r="D11" t="s">
        <v>766</v>
      </c>
      <c r="E11">
        <v>220908</v>
      </c>
      <c r="G11" s="2">
        <v>0.41041666666666665</v>
      </c>
      <c r="H11" s="2">
        <v>0.54166666666666663</v>
      </c>
      <c r="J11">
        <v>2.9875207986688701</v>
      </c>
      <c r="K11" t="s">
        <v>778</v>
      </c>
      <c r="L11" t="str">
        <f t="shared" si="0"/>
        <v>37</v>
      </c>
      <c r="M11">
        <f t="shared" si="1"/>
        <v>0</v>
      </c>
      <c r="N11">
        <f t="shared" si="2"/>
        <v>0</v>
      </c>
    </row>
    <row r="12" spans="1:14">
      <c r="A12">
        <v>7001</v>
      </c>
      <c r="B12" t="s">
        <v>770</v>
      </c>
      <c r="C12" t="s">
        <v>754</v>
      </c>
      <c r="D12" t="s">
        <v>771</v>
      </c>
      <c r="E12">
        <v>22044</v>
      </c>
      <c r="G12" s="2">
        <v>6.3888888888888884E-2</v>
      </c>
      <c r="H12" s="2">
        <v>0.33263888888888887</v>
      </c>
      <c r="J12">
        <v>6.0553392682681704</v>
      </c>
      <c r="K12" t="s">
        <v>772</v>
      </c>
      <c r="L12" t="str">
        <f t="shared" si="0"/>
        <v>33</v>
      </c>
      <c r="M12">
        <f t="shared" si="1"/>
        <v>0</v>
      </c>
      <c r="N12">
        <f t="shared" si="2"/>
        <v>0</v>
      </c>
    </row>
    <row r="13" spans="1:14">
      <c r="A13">
        <v>7001</v>
      </c>
      <c r="B13" t="s">
        <v>770</v>
      </c>
      <c r="C13" t="s">
        <v>754</v>
      </c>
      <c r="D13" t="s">
        <v>771</v>
      </c>
      <c r="E13">
        <v>22044</v>
      </c>
      <c r="G13" s="2">
        <v>0.33263888888888887</v>
      </c>
      <c r="H13" s="2">
        <v>0.39583333333333331</v>
      </c>
      <c r="J13">
        <v>1.4238653059752</v>
      </c>
      <c r="K13" t="s">
        <v>759</v>
      </c>
      <c r="L13" t="str">
        <f t="shared" si="0"/>
        <v>33</v>
      </c>
      <c r="M13">
        <f t="shared" si="1"/>
        <v>0</v>
      </c>
      <c r="N13">
        <f t="shared" si="2"/>
        <v>0</v>
      </c>
    </row>
    <row r="14" spans="1:14">
      <c r="A14">
        <v>7974</v>
      </c>
      <c r="B14" t="s">
        <v>1065</v>
      </c>
      <c r="C14" t="s">
        <v>755</v>
      </c>
      <c r="D14" t="s">
        <v>795</v>
      </c>
      <c r="E14">
        <v>902346</v>
      </c>
      <c r="G14" s="2">
        <v>0.84236111111111101</v>
      </c>
      <c r="H14" s="2">
        <v>0.90347222222222223</v>
      </c>
      <c r="J14">
        <v>1.4521821946169799</v>
      </c>
      <c r="K14" t="s">
        <v>796</v>
      </c>
      <c r="L14" t="str">
        <f t="shared" si="0"/>
        <v>37</v>
      </c>
      <c r="M14">
        <f t="shared" si="1"/>
        <v>0</v>
      </c>
      <c r="N14">
        <f t="shared" si="2"/>
        <v>0</v>
      </c>
    </row>
    <row r="15" spans="1:14">
      <c r="A15">
        <v>7974</v>
      </c>
      <c r="B15" t="s">
        <v>1065</v>
      </c>
      <c r="C15" t="s">
        <v>755</v>
      </c>
      <c r="D15" t="s">
        <v>795</v>
      </c>
      <c r="E15">
        <v>902346</v>
      </c>
      <c r="G15" s="2">
        <v>0.90347222222222223</v>
      </c>
      <c r="H15" s="2">
        <v>0.90625</v>
      </c>
      <c r="J15">
        <v>6.6008281573498903E-2</v>
      </c>
      <c r="K15" t="s">
        <v>797</v>
      </c>
      <c r="L15" t="str">
        <f t="shared" si="0"/>
        <v>37</v>
      </c>
      <c r="M15">
        <f t="shared" si="1"/>
        <v>0</v>
      </c>
      <c r="N15">
        <f t="shared" si="2"/>
        <v>0</v>
      </c>
    </row>
    <row r="16" spans="1:14">
      <c r="A16">
        <v>7974</v>
      </c>
      <c r="B16" t="s">
        <v>1065</v>
      </c>
      <c r="C16" t="s">
        <v>755</v>
      </c>
      <c r="D16" t="s">
        <v>795</v>
      </c>
      <c r="E16">
        <v>902346</v>
      </c>
      <c r="G16" s="2">
        <v>0.90625</v>
      </c>
      <c r="H16" s="2">
        <v>0.95138888888888884</v>
      </c>
      <c r="J16">
        <v>1.07263457556935</v>
      </c>
      <c r="K16" t="s">
        <v>796</v>
      </c>
      <c r="L16" t="str">
        <f t="shared" si="0"/>
        <v>37</v>
      </c>
      <c r="M16">
        <f t="shared" si="1"/>
        <v>0</v>
      </c>
      <c r="N16">
        <f t="shared" si="2"/>
        <v>0</v>
      </c>
    </row>
    <row r="17" spans="1:14">
      <c r="A17">
        <v>7974</v>
      </c>
      <c r="B17" t="s">
        <v>1065</v>
      </c>
      <c r="C17" t="s">
        <v>755</v>
      </c>
      <c r="D17" t="s">
        <v>795</v>
      </c>
      <c r="E17">
        <v>902346</v>
      </c>
      <c r="G17" s="2">
        <v>0.95138888888888884</v>
      </c>
      <c r="H17" s="2">
        <v>0.95416666666666661</v>
      </c>
      <c r="J17">
        <v>6.6008281573498903E-2</v>
      </c>
      <c r="K17" t="s">
        <v>797</v>
      </c>
      <c r="L17" t="str">
        <f t="shared" si="0"/>
        <v>37</v>
      </c>
      <c r="M17">
        <f t="shared" si="1"/>
        <v>0</v>
      </c>
      <c r="N17">
        <f t="shared" si="2"/>
        <v>0</v>
      </c>
    </row>
    <row r="18" spans="1:14">
      <c r="A18">
        <v>7002</v>
      </c>
      <c r="B18" t="s">
        <v>774</v>
      </c>
      <c r="C18" t="s">
        <v>754</v>
      </c>
      <c r="D18" t="s">
        <v>775</v>
      </c>
      <c r="E18">
        <v>21988</v>
      </c>
      <c r="G18" s="2">
        <v>0.29166666666666669</v>
      </c>
      <c r="H18" s="2">
        <v>0.64583333333333337</v>
      </c>
      <c r="J18">
        <v>8</v>
      </c>
      <c r="K18" t="s">
        <v>776</v>
      </c>
      <c r="L18" t="str">
        <f t="shared" si="0"/>
        <v>37</v>
      </c>
      <c r="M18">
        <f t="shared" si="1"/>
        <v>0</v>
      </c>
      <c r="N18">
        <f t="shared" si="2"/>
        <v>0</v>
      </c>
    </row>
    <row r="19" spans="1:14">
      <c r="A19">
        <v>8041</v>
      </c>
      <c r="B19" t="s">
        <v>781</v>
      </c>
      <c r="C19" t="s">
        <v>754</v>
      </c>
      <c r="D19" t="s">
        <v>775</v>
      </c>
      <c r="E19">
        <v>510456</v>
      </c>
      <c r="G19" s="2">
        <v>0.35416666666666669</v>
      </c>
      <c r="H19" s="2">
        <v>0.70833333333333337</v>
      </c>
      <c r="J19">
        <v>8</v>
      </c>
      <c r="K19" t="s">
        <v>782</v>
      </c>
      <c r="L19" t="str">
        <f t="shared" si="0"/>
        <v>65</v>
      </c>
      <c r="M19">
        <f t="shared" si="1"/>
        <v>0</v>
      </c>
      <c r="N19">
        <f t="shared" si="2"/>
        <v>0</v>
      </c>
    </row>
    <row r="20" spans="1:14">
      <c r="A20">
        <v>7091</v>
      </c>
      <c r="B20" t="s">
        <v>1168</v>
      </c>
      <c r="C20" t="s">
        <v>755</v>
      </c>
      <c r="D20" t="s">
        <v>818</v>
      </c>
      <c r="E20">
        <v>255599</v>
      </c>
      <c r="G20" s="2">
        <v>0.56527777777777777</v>
      </c>
      <c r="H20" s="2">
        <v>0.61250000000000004</v>
      </c>
      <c r="J20">
        <v>1.0613204383230901</v>
      </c>
      <c r="K20" t="s">
        <v>759</v>
      </c>
      <c r="L20" t="str">
        <f t="shared" si="0"/>
        <v>33</v>
      </c>
      <c r="M20">
        <f t="shared" si="1"/>
        <v>0</v>
      </c>
      <c r="N20">
        <f t="shared" si="2"/>
        <v>0</v>
      </c>
    </row>
    <row r="21" spans="1:14">
      <c r="A21">
        <v>7091</v>
      </c>
      <c r="B21" t="s">
        <v>1168</v>
      </c>
      <c r="C21" t="s">
        <v>755</v>
      </c>
      <c r="D21" t="s">
        <v>818</v>
      </c>
      <c r="E21">
        <v>255599</v>
      </c>
      <c r="G21" s="2">
        <v>0.61250000000000004</v>
      </c>
      <c r="H21" s="2">
        <v>0.7597222222222223</v>
      </c>
      <c r="J21">
        <v>3.30882254300729</v>
      </c>
      <c r="K21" t="s">
        <v>773</v>
      </c>
      <c r="L21" t="str">
        <f t="shared" si="0"/>
        <v>33</v>
      </c>
      <c r="M21">
        <f t="shared" si="1"/>
        <v>0</v>
      </c>
      <c r="N21">
        <f t="shared" si="2"/>
        <v>0</v>
      </c>
    </row>
    <row r="22" spans="1:14">
      <c r="A22">
        <v>7091</v>
      </c>
      <c r="B22" t="s">
        <v>1168</v>
      </c>
      <c r="C22" t="s">
        <v>755</v>
      </c>
      <c r="D22" t="s">
        <v>818</v>
      </c>
      <c r="E22">
        <v>255599</v>
      </c>
      <c r="G22" s="2">
        <v>0.7597222222222223</v>
      </c>
      <c r="H22" s="2">
        <v>0.83333333333333337</v>
      </c>
      <c r="J22">
        <v>1.6544112715036501</v>
      </c>
      <c r="K22" t="s">
        <v>760</v>
      </c>
      <c r="L22" t="str">
        <f t="shared" si="0"/>
        <v>33</v>
      </c>
      <c r="M22">
        <f t="shared" si="1"/>
        <v>0</v>
      </c>
      <c r="N22">
        <f t="shared" si="2"/>
        <v>0</v>
      </c>
    </row>
    <row r="23" spans="1:14">
      <c r="A23">
        <v>7091</v>
      </c>
      <c r="B23" t="s">
        <v>1168</v>
      </c>
      <c r="C23" t="s">
        <v>755</v>
      </c>
      <c r="D23" t="s">
        <v>818</v>
      </c>
      <c r="E23">
        <v>255599</v>
      </c>
      <c r="G23" s="2">
        <v>0.83333333333333337</v>
      </c>
      <c r="H23" s="2">
        <v>0.89583333333333337</v>
      </c>
      <c r="J23">
        <v>1.40468881542762</v>
      </c>
      <c r="K23" t="s">
        <v>799</v>
      </c>
      <c r="L23" t="str">
        <f t="shared" si="0"/>
        <v>33</v>
      </c>
      <c r="M23">
        <f t="shared" si="1"/>
        <v>0</v>
      </c>
      <c r="N23">
        <f t="shared" si="2"/>
        <v>0</v>
      </c>
    </row>
    <row r="24" spans="1:14">
      <c r="A24">
        <v>7495</v>
      </c>
      <c r="B24" t="s">
        <v>783</v>
      </c>
      <c r="C24" t="s">
        <v>754</v>
      </c>
      <c r="D24" t="s">
        <v>757</v>
      </c>
      <c r="E24">
        <v>84691</v>
      </c>
      <c r="G24" s="2">
        <v>0.20416666666666669</v>
      </c>
      <c r="H24" s="2">
        <v>0.28611111111111115</v>
      </c>
      <c r="J24">
        <v>1.84424322580455</v>
      </c>
      <c r="K24" t="s">
        <v>784</v>
      </c>
      <c r="L24" t="str">
        <f t="shared" si="0"/>
        <v>33</v>
      </c>
      <c r="M24">
        <f t="shared" si="1"/>
        <v>0</v>
      </c>
      <c r="N24">
        <f t="shared" si="2"/>
        <v>0</v>
      </c>
    </row>
    <row r="25" spans="1:14">
      <c r="A25">
        <v>7495</v>
      </c>
      <c r="B25" t="s">
        <v>783</v>
      </c>
      <c r="C25" t="s">
        <v>754</v>
      </c>
      <c r="D25" t="s">
        <v>757</v>
      </c>
      <c r="E25">
        <v>84691</v>
      </c>
      <c r="G25" s="2">
        <v>0.28611111111111115</v>
      </c>
      <c r="H25" s="2">
        <v>0.3215277777777778</v>
      </c>
      <c r="J25">
        <v>0.79708817386468001</v>
      </c>
      <c r="K25" t="s">
        <v>785</v>
      </c>
      <c r="L25" t="str">
        <f t="shared" si="0"/>
        <v>33</v>
      </c>
      <c r="M25">
        <f t="shared" si="1"/>
        <v>0</v>
      </c>
      <c r="N25">
        <f t="shared" si="2"/>
        <v>0</v>
      </c>
    </row>
    <row r="26" spans="1:14">
      <c r="A26">
        <v>7495</v>
      </c>
      <c r="B26" t="s">
        <v>783</v>
      </c>
      <c r="C26" t="s">
        <v>754</v>
      </c>
      <c r="D26" t="s">
        <v>757</v>
      </c>
      <c r="E26">
        <v>84691</v>
      </c>
      <c r="G26" s="2">
        <v>0.3215277777777778</v>
      </c>
      <c r="H26" s="2">
        <v>0.35902777777777778</v>
      </c>
      <c r="J26">
        <v>0.84397571350377798</v>
      </c>
      <c r="K26" t="s">
        <v>763</v>
      </c>
      <c r="L26" t="str">
        <f t="shared" si="0"/>
        <v>33</v>
      </c>
      <c r="M26">
        <f t="shared" si="1"/>
        <v>0</v>
      </c>
      <c r="N26">
        <f t="shared" si="2"/>
        <v>0</v>
      </c>
    </row>
    <row r="27" spans="1:14">
      <c r="A27">
        <v>7495</v>
      </c>
      <c r="B27" t="s">
        <v>783</v>
      </c>
      <c r="C27" t="s">
        <v>754</v>
      </c>
      <c r="D27" t="s">
        <v>757</v>
      </c>
      <c r="E27">
        <v>84691</v>
      </c>
      <c r="G27" s="2">
        <v>0.35902777777777778</v>
      </c>
      <c r="H27" s="2">
        <v>0.49375000000000002</v>
      </c>
      <c r="J27">
        <v>3.03206089666172</v>
      </c>
      <c r="K27" t="s">
        <v>786</v>
      </c>
      <c r="L27" t="str">
        <f t="shared" si="0"/>
        <v>33</v>
      </c>
      <c r="M27">
        <f t="shared" si="1"/>
        <v>0</v>
      </c>
      <c r="N27">
        <f t="shared" si="2"/>
        <v>0</v>
      </c>
    </row>
    <row r="28" spans="1:14">
      <c r="A28">
        <v>7495</v>
      </c>
      <c r="B28" t="s">
        <v>783</v>
      </c>
      <c r="C28" t="s">
        <v>754</v>
      </c>
      <c r="D28" t="s">
        <v>757</v>
      </c>
      <c r="E28">
        <v>84691</v>
      </c>
      <c r="G28" s="2">
        <v>0.49375000000000002</v>
      </c>
      <c r="H28" s="2">
        <v>0.50555555555555554</v>
      </c>
      <c r="J28">
        <v>0.26569605795489298</v>
      </c>
      <c r="K28" t="s">
        <v>763</v>
      </c>
      <c r="L28" t="str">
        <f t="shared" si="0"/>
        <v>33</v>
      </c>
      <c r="M28">
        <f t="shared" si="1"/>
        <v>0</v>
      </c>
      <c r="N28">
        <f t="shared" si="2"/>
        <v>0</v>
      </c>
    </row>
    <row r="29" spans="1:14">
      <c r="A29">
        <v>7495</v>
      </c>
      <c r="B29" t="s">
        <v>783</v>
      </c>
      <c r="C29" t="s">
        <v>754</v>
      </c>
      <c r="D29" t="s">
        <v>757</v>
      </c>
      <c r="E29">
        <v>84691</v>
      </c>
      <c r="G29" s="2">
        <v>0.50555555555555554</v>
      </c>
      <c r="H29" s="2">
        <v>0.54166666666666663</v>
      </c>
      <c r="J29">
        <v>0.81271735374437903</v>
      </c>
      <c r="K29" t="s">
        <v>759</v>
      </c>
      <c r="L29" t="str">
        <f t="shared" si="0"/>
        <v>33</v>
      </c>
      <c r="M29">
        <f t="shared" si="1"/>
        <v>0</v>
      </c>
      <c r="N29">
        <f t="shared" si="2"/>
        <v>0</v>
      </c>
    </row>
    <row r="30" spans="1:14">
      <c r="A30">
        <v>8010</v>
      </c>
      <c r="B30" t="s">
        <v>791</v>
      </c>
      <c r="C30" t="s">
        <v>754</v>
      </c>
      <c r="D30" t="s">
        <v>775</v>
      </c>
      <c r="E30">
        <v>547697</v>
      </c>
      <c r="G30" s="2">
        <v>0.29166666666666669</v>
      </c>
      <c r="H30" s="2">
        <v>0.64583333333333337</v>
      </c>
      <c r="J30">
        <v>8</v>
      </c>
      <c r="K30" t="s">
        <v>792</v>
      </c>
      <c r="L30" t="str">
        <f t="shared" si="0"/>
        <v>65</v>
      </c>
      <c r="M30">
        <f t="shared" si="1"/>
        <v>0</v>
      </c>
      <c r="N30">
        <f t="shared" si="2"/>
        <v>0</v>
      </c>
    </row>
    <row r="31" spans="1:14">
      <c r="A31">
        <v>4065</v>
      </c>
      <c r="B31" t="s">
        <v>1169</v>
      </c>
      <c r="C31" t="s">
        <v>756</v>
      </c>
      <c r="E31">
        <v>907707</v>
      </c>
      <c r="G31" s="2">
        <v>0.27361111111111108</v>
      </c>
      <c r="H31" s="2">
        <v>0.60486111111111118</v>
      </c>
      <c r="J31">
        <v>7.4458969035889098</v>
      </c>
      <c r="K31" t="s">
        <v>759</v>
      </c>
      <c r="L31" t="str">
        <f t="shared" si="0"/>
        <v>33</v>
      </c>
      <c r="M31">
        <f t="shared" si="1"/>
        <v>0</v>
      </c>
      <c r="N31">
        <f t="shared" si="2"/>
        <v>0</v>
      </c>
    </row>
    <row r="32" spans="1:14">
      <c r="A32">
        <v>7263</v>
      </c>
      <c r="B32" t="s">
        <v>1170</v>
      </c>
      <c r="C32" t="s">
        <v>755</v>
      </c>
      <c r="D32" t="s">
        <v>918</v>
      </c>
      <c r="E32">
        <v>30691</v>
      </c>
      <c r="G32" s="2">
        <v>0.37777777777777777</v>
      </c>
      <c r="H32" s="2">
        <v>0.40208333333333335</v>
      </c>
      <c r="J32">
        <v>0.54626787266629895</v>
      </c>
      <c r="K32" t="s">
        <v>801</v>
      </c>
      <c r="L32" t="str">
        <f t="shared" si="0"/>
        <v>33</v>
      </c>
      <c r="M32">
        <f t="shared" si="1"/>
        <v>0</v>
      </c>
      <c r="N32">
        <f t="shared" si="2"/>
        <v>0</v>
      </c>
    </row>
    <row r="33" spans="1:14">
      <c r="A33">
        <v>7263</v>
      </c>
      <c r="B33" t="s">
        <v>1170</v>
      </c>
      <c r="C33" t="s">
        <v>755</v>
      </c>
      <c r="D33" t="s">
        <v>918</v>
      </c>
      <c r="E33">
        <v>30691</v>
      </c>
      <c r="G33" s="2">
        <v>0.40208333333333335</v>
      </c>
      <c r="H33" s="2">
        <v>0.4284722222222222</v>
      </c>
      <c r="J33">
        <v>0.593090833180553</v>
      </c>
      <c r="K33" t="s">
        <v>763</v>
      </c>
      <c r="L33" t="str">
        <f t="shared" si="0"/>
        <v>33</v>
      </c>
      <c r="M33">
        <f t="shared" si="1"/>
        <v>0</v>
      </c>
      <c r="N33">
        <f t="shared" si="2"/>
        <v>0</v>
      </c>
    </row>
    <row r="34" spans="1:14">
      <c r="A34">
        <v>7263</v>
      </c>
      <c r="B34" t="s">
        <v>1170</v>
      </c>
      <c r="C34" t="s">
        <v>755</v>
      </c>
      <c r="D34" t="s">
        <v>918</v>
      </c>
      <c r="E34">
        <v>30691</v>
      </c>
      <c r="G34" s="2">
        <v>0.4284722222222222</v>
      </c>
      <c r="H34" s="2">
        <v>0.4909722222222222</v>
      </c>
      <c r="J34">
        <v>1.40468881542762</v>
      </c>
      <c r="K34" t="s">
        <v>801</v>
      </c>
      <c r="L34" t="str">
        <f t="shared" si="0"/>
        <v>33</v>
      </c>
      <c r="M34">
        <f t="shared" si="1"/>
        <v>0</v>
      </c>
      <c r="N34">
        <f t="shared" si="2"/>
        <v>0</v>
      </c>
    </row>
    <row r="35" spans="1:14">
      <c r="A35">
        <v>7263</v>
      </c>
      <c r="B35" t="s">
        <v>1170</v>
      </c>
      <c r="C35" t="s">
        <v>755</v>
      </c>
      <c r="D35" t="s">
        <v>918</v>
      </c>
      <c r="E35">
        <v>30691</v>
      </c>
      <c r="G35" s="2">
        <v>0.4909722222222222</v>
      </c>
      <c r="H35" s="2">
        <v>0.70833333333333337</v>
      </c>
      <c r="J35">
        <v>4.8851955469871902</v>
      </c>
      <c r="K35" t="s">
        <v>1171</v>
      </c>
      <c r="L35" t="str">
        <f t="shared" si="0"/>
        <v>37</v>
      </c>
      <c r="M35">
        <f t="shared" si="1"/>
        <v>0</v>
      </c>
      <c r="N35">
        <f t="shared" si="2"/>
        <v>0</v>
      </c>
    </row>
    <row r="36" spans="1:14">
      <c r="A36">
        <v>4101</v>
      </c>
      <c r="B36" t="s">
        <v>794</v>
      </c>
      <c r="C36" t="s">
        <v>755</v>
      </c>
      <c r="D36" t="s">
        <v>795</v>
      </c>
      <c r="E36">
        <v>680276</v>
      </c>
      <c r="G36" s="2">
        <v>0.84097222222222223</v>
      </c>
      <c r="H36" s="2">
        <v>0.91041666666666676</v>
      </c>
      <c r="J36">
        <v>1.6501443001442999</v>
      </c>
      <c r="K36" t="s">
        <v>796</v>
      </c>
      <c r="L36" t="str">
        <f t="shared" si="0"/>
        <v>37</v>
      </c>
      <c r="M36">
        <f t="shared" si="1"/>
        <v>0</v>
      </c>
      <c r="N36">
        <f t="shared" si="2"/>
        <v>0</v>
      </c>
    </row>
    <row r="37" spans="1:14">
      <c r="A37">
        <v>4101</v>
      </c>
      <c r="B37" t="s">
        <v>794</v>
      </c>
      <c r="C37" t="s">
        <v>755</v>
      </c>
      <c r="D37" t="s">
        <v>795</v>
      </c>
      <c r="E37">
        <v>680276</v>
      </c>
      <c r="G37" s="2">
        <v>0.91041666666666676</v>
      </c>
      <c r="H37" s="2">
        <v>0.91527777777777775</v>
      </c>
      <c r="J37">
        <v>0.11551010101010099</v>
      </c>
      <c r="K37" t="s">
        <v>797</v>
      </c>
      <c r="L37" t="str">
        <f t="shared" si="0"/>
        <v>37</v>
      </c>
      <c r="M37">
        <f t="shared" si="1"/>
        <v>0</v>
      </c>
      <c r="N37">
        <f t="shared" si="2"/>
        <v>0</v>
      </c>
    </row>
    <row r="38" spans="1:14">
      <c r="A38">
        <v>4101</v>
      </c>
      <c r="B38" t="s">
        <v>794</v>
      </c>
      <c r="C38" t="s">
        <v>755</v>
      </c>
      <c r="D38" t="s">
        <v>795</v>
      </c>
      <c r="E38">
        <v>680276</v>
      </c>
      <c r="G38" s="2">
        <v>0.91527777777777775</v>
      </c>
      <c r="H38" s="2">
        <v>0.99930555555555556</v>
      </c>
      <c r="J38">
        <v>1.9966746031746001</v>
      </c>
      <c r="K38" t="s">
        <v>796</v>
      </c>
      <c r="L38" t="str">
        <f t="shared" si="0"/>
        <v>37</v>
      </c>
      <c r="M38">
        <f t="shared" si="1"/>
        <v>0</v>
      </c>
      <c r="N38">
        <f t="shared" si="2"/>
        <v>0</v>
      </c>
    </row>
    <row r="39" spans="1:14">
      <c r="A39">
        <v>4101</v>
      </c>
      <c r="B39" t="s">
        <v>794</v>
      </c>
      <c r="C39" t="s">
        <v>755</v>
      </c>
      <c r="D39" t="s">
        <v>795</v>
      </c>
      <c r="E39">
        <v>680276</v>
      </c>
      <c r="G39" s="2">
        <v>0.99930555555555556</v>
      </c>
      <c r="H39" s="2">
        <v>1.3888888888888889E-3</v>
      </c>
      <c r="J39">
        <v>4.9504329004328898E-2</v>
      </c>
      <c r="K39" t="s">
        <v>797</v>
      </c>
      <c r="L39" t="str">
        <f t="shared" si="0"/>
        <v>37</v>
      </c>
      <c r="M39">
        <f t="shared" si="1"/>
        <v>0</v>
      </c>
      <c r="N39">
        <f t="shared" si="2"/>
        <v>0</v>
      </c>
    </row>
    <row r="40" spans="1:14">
      <c r="A40">
        <v>7922</v>
      </c>
      <c r="B40" t="s">
        <v>804</v>
      </c>
      <c r="C40" t="s">
        <v>755</v>
      </c>
      <c r="D40" t="s">
        <v>805</v>
      </c>
      <c r="E40">
        <v>803110</v>
      </c>
      <c r="G40" s="2">
        <v>0.1673611111111111</v>
      </c>
      <c r="H40" s="2">
        <v>0.29166666666666669</v>
      </c>
      <c r="J40">
        <v>2.8059110304455999</v>
      </c>
      <c r="K40" t="s">
        <v>759</v>
      </c>
      <c r="L40" t="str">
        <f t="shared" si="0"/>
        <v>33</v>
      </c>
      <c r="M40">
        <f t="shared" si="1"/>
        <v>0</v>
      </c>
      <c r="N40">
        <f t="shared" si="2"/>
        <v>0</v>
      </c>
    </row>
    <row r="41" spans="1:14">
      <c r="A41">
        <v>7922</v>
      </c>
      <c r="B41" t="s">
        <v>804</v>
      </c>
      <c r="C41" t="s">
        <v>755</v>
      </c>
      <c r="D41" t="s">
        <v>805</v>
      </c>
      <c r="E41">
        <v>803110</v>
      </c>
      <c r="G41" s="2">
        <v>0.29166666666666669</v>
      </c>
      <c r="H41" s="2">
        <v>0.30069444444444443</v>
      </c>
      <c r="J41">
        <v>0.20378124802118899</v>
      </c>
      <c r="K41" t="s">
        <v>833</v>
      </c>
      <c r="L41" t="str">
        <f t="shared" si="0"/>
        <v>33</v>
      </c>
      <c r="M41">
        <f t="shared" si="1"/>
        <v>0</v>
      </c>
      <c r="N41">
        <f t="shared" si="2"/>
        <v>0</v>
      </c>
    </row>
    <row r="42" spans="1:14">
      <c r="A42">
        <v>7922</v>
      </c>
      <c r="B42" t="s">
        <v>804</v>
      </c>
      <c r="C42" t="s">
        <v>755</v>
      </c>
      <c r="D42" t="s">
        <v>805</v>
      </c>
      <c r="E42">
        <v>803110</v>
      </c>
      <c r="G42" s="2">
        <v>0.30069444444444443</v>
      </c>
      <c r="H42" s="2">
        <v>0.30694444444444441</v>
      </c>
      <c r="J42">
        <v>0.14107932555312999</v>
      </c>
      <c r="K42" t="s">
        <v>798</v>
      </c>
      <c r="L42" t="str">
        <f t="shared" si="0"/>
        <v>33</v>
      </c>
      <c r="M42">
        <f t="shared" si="1"/>
        <v>0</v>
      </c>
      <c r="N42">
        <f t="shared" si="2"/>
        <v>0</v>
      </c>
    </row>
    <row r="43" spans="1:14">
      <c r="A43">
        <v>7922</v>
      </c>
      <c r="B43" t="s">
        <v>804</v>
      </c>
      <c r="C43" t="s">
        <v>755</v>
      </c>
      <c r="D43" t="s">
        <v>805</v>
      </c>
      <c r="E43">
        <v>803110</v>
      </c>
      <c r="G43" s="2">
        <v>0.30694444444444441</v>
      </c>
      <c r="H43" s="2">
        <v>0.37986111111111115</v>
      </c>
      <c r="J43">
        <v>1.64592546478652</v>
      </c>
      <c r="K43" t="s">
        <v>799</v>
      </c>
      <c r="L43" t="str">
        <f t="shared" si="0"/>
        <v>33</v>
      </c>
      <c r="M43">
        <f t="shared" si="1"/>
        <v>0</v>
      </c>
      <c r="N43">
        <f t="shared" si="2"/>
        <v>0</v>
      </c>
    </row>
    <row r="44" spans="1:14">
      <c r="A44">
        <v>7922</v>
      </c>
      <c r="B44" t="s">
        <v>804</v>
      </c>
      <c r="C44" t="s">
        <v>755</v>
      </c>
      <c r="D44" t="s">
        <v>805</v>
      </c>
      <c r="E44">
        <v>803110</v>
      </c>
      <c r="G44" s="2">
        <v>0.37986111111111115</v>
      </c>
      <c r="H44" s="2">
        <v>0.49027777777777781</v>
      </c>
      <c r="J44">
        <v>2.49240141810531</v>
      </c>
      <c r="K44" t="s">
        <v>798</v>
      </c>
      <c r="L44" t="str">
        <f t="shared" si="0"/>
        <v>33</v>
      </c>
      <c r="M44">
        <f t="shared" si="1"/>
        <v>0</v>
      </c>
      <c r="N44">
        <f t="shared" si="2"/>
        <v>0</v>
      </c>
    </row>
    <row r="45" spans="1:14">
      <c r="A45">
        <v>7922</v>
      </c>
      <c r="B45" t="s">
        <v>804</v>
      </c>
      <c r="C45" t="s">
        <v>755</v>
      </c>
      <c r="D45" t="s">
        <v>805</v>
      </c>
      <c r="E45">
        <v>803110</v>
      </c>
      <c r="G45" s="2">
        <v>0.49027777777777781</v>
      </c>
      <c r="H45" s="2">
        <v>0.52083333333333337</v>
      </c>
      <c r="J45">
        <v>0.68972114714863897</v>
      </c>
      <c r="K45" t="s">
        <v>799</v>
      </c>
      <c r="L45" t="str">
        <f t="shared" si="0"/>
        <v>33</v>
      </c>
      <c r="M45">
        <f t="shared" si="1"/>
        <v>0</v>
      </c>
      <c r="N45">
        <f t="shared" si="2"/>
        <v>0</v>
      </c>
    </row>
    <row r="46" spans="1:14">
      <c r="A46">
        <v>7710</v>
      </c>
      <c r="B46" t="s">
        <v>807</v>
      </c>
      <c r="C46" t="s">
        <v>754</v>
      </c>
      <c r="D46" t="s">
        <v>795</v>
      </c>
      <c r="E46">
        <v>220936</v>
      </c>
      <c r="G46" s="2">
        <v>0.84305555555555556</v>
      </c>
      <c r="H46" s="2">
        <v>0.84930555555555554</v>
      </c>
      <c r="J46">
        <v>0.15018675102141699</v>
      </c>
      <c r="K46" t="s">
        <v>767</v>
      </c>
      <c r="L46" t="str">
        <f t="shared" si="0"/>
        <v>37</v>
      </c>
      <c r="M46">
        <f t="shared" si="1"/>
        <v>0</v>
      </c>
      <c r="N46">
        <f t="shared" si="2"/>
        <v>0</v>
      </c>
    </row>
    <row r="47" spans="1:14">
      <c r="A47">
        <v>7710</v>
      </c>
      <c r="B47" t="s">
        <v>807</v>
      </c>
      <c r="C47" t="s">
        <v>754</v>
      </c>
      <c r="D47" t="s">
        <v>795</v>
      </c>
      <c r="E47">
        <v>220936</v>
      </c>
      <c r="G47" s="2">
        <v>0.84930555555555554</v>
      </c>
      <c r="H47" s="2">
        <v>1.9444444444444445E-2</v>
      </c>
      <c r="J47">
        <v>4.0884171111385603</v>
      </c>
      <c r="K47" t="s">
        <v>827</v>
      </c>
      <c r="L47" t="str">
        <f t="shared" si="0"/>
        <v>37</v>
      </c>
      <c r="M47">
        <f t="shared" si="1"/>
        <v>0</v>
      </c>
      <c r="N47">
        <f t="shared" si="2"/>
        <v>0</v>
      </c>
    </row>
    <row r="48" spans="1:14">
      <c r="A48">
        <v>7710</v>
      </c>
      <c r="B48" t="s">
        <v>807</v>
      </c>
      <c r="C48" t="s">
        <v>754</v>
      </c>
      <c r="D48" t="s">
        <v>795</v>
      </c>
      <c r="E48">
        <v>220936</v>
      </c>
      <c r="G48" s="2">
        <v>1.9444444444444445E-2</v>
      </c>
      <c r="H48" s="2">
        <v>7.1527777777777787E-2</v>
      </c>
      <c r="J48">
        <v>1.2515562585118101</v>
      </c>
      <c r="K48" t="s">
        <v>796</v>
      </c>
      <c r="L48" t="str">
        <f t="shared" si="0"/>
        <v>37</v>
      </c>
      <c r="M48">
        <f t="shared" si="1"/>
        <v>0</v>
      </c>
      <c r="N48">
        <f t="shared" si="2"/>
        <v>0</v>
      </c>
    </row>
    <row r="49" spans="1:14">
      <c r="A49">
        <v>7710</v>
      </c>
      <c r="B49" t="s">
        <v>807</v>
      </c>
      <c r="C49" t="s">
        <v>754</v>
      </c>
      <c r="D49" t="s">
        <v>795</v>
      </c>
      <c r="E49">
        <v>220936</v>
      </c>
      <c r="G49" s="2">
        <v>7.1527777777777787E-2</v>
      </c>
      <c r="H49" s="2">
        <v>0.11597222222222221</v>
      </c>
      <c r="J49">
        <v>1.0679946739300801</v>
      </c>
      <c r="K49" t="s">
        <v>827</v>
      </c>
      <c r="L49" t="str">
        <f t="shared" si="0"/>
        <v>37</v>
      </c>
      <c r="M49">
        <f t="shared" si="1"/>
        <v>0</v>
      </c>
      <c r="N49">
        <f t="shared" si="2"/>
        <v>0</v>
      </c>
    </row>
    <row r="50" spans="1:14">
      <c r="A50">
        <v>7710</v>
      </c>
      <c r="B50" t="s">
        <v>807</v>
      </c>
      <c r="C50" t="s">
        <v>754</v>
      </c>
      <c r="D50" t="s">
        <v>795</v>
      </c>
      <c r="E50">
        <v>220936</v>
      </c>
      <c r="G50" s="2">
        <v>0.11597222222222221</v>
      </c>
      <c r="H50" s="2">
        <v>0.14374999999999999</v>
      </c>
      <c r="J50">
        <v>0.66749667120630196</v>
      </c>
      <c r="K50" t="s">
        <v>796</v>
      </c>
      <c r="L50" t="str">
        <f t="shared" si="0"/>
        <v>37</v>
      </c>
      <c r="M50">
        <f t="shared" si="1"/>
        <v>0</v>
      </c>
      <c r="N50">
        <f t="shared" si="2"/>
        <v>0</v>
      </c>
    </row>
    <row r="51" spans="1:14">
      <c r="A51">
        <v>7710</v>
      </c>
      <c r="B51" t="s">
        <v>807</v>
      </c>
      <c r="C51" t="s">
        <v>754</v>
      </c>
      <c r="D51" t="s">
        <v>795</v>
      </c>
      <c r="E51">
        <v>220936</v>
      </c>
      <c r="G51" s="2">
        <v>0.14374999999999999</v>
      </c>
      <c r="H51" s="2">
        <v>0.14791666666666667</v>
      </c>
      <c r="J51">
        <v>0.100124500680945</v>
      </c>
      <c r="K51" t="s">
        <v>767</v>
      </c>
      <c r="L51" t="str">
        <f t="shared" si="0"/>
        <v>37</v>
      </c>
      <c r="M51">
        <f t="shared" si="1"/>
        <v>0</v>
      </c>
      <c r="N51">
        <f t="shared" si="2"/>
        <v>0</v>
      </c>
    </row>
    <row r="52" spans="1:14">
      <c r="A52">
        <v>7710</v>
      </c>
      <c r="B52" t="s">
        <v>807</v>
      </c>
      <c r="C52" t="s">
        <v>754</v>
      </c>
      <c r="D52" t="s">
        <v>795</v>
      </c>
      <c r="E52">
        <v>220936</v>
      </c>
      <c r="G52" s="2">
        <v>0.14791666666666667</v>
      </c>
      <c r="H52" s="2">
        <v>0.15347222222222223</v>
      </c>
      <c r="J52">
        <v>0.13349933424126001</v>
      </c>
      <c r="K52" t="s">
        <v>796</v>
      </c>
      <c r="L52" t="str">
        <f t="shared" si="0"/>
        <v>37</v>
      </c>
      <c r="M52">
        <f t="shared" si="1"/>
        <v>0</v>
      </c>
      <c r="N52">
        <f t="shared" si="2"/>
        <v>0</v>
      </c>
    </row>
    <row r="53" spans="1:14">
      <c r="A53">
        <v>7710</v>
      </c>
      <c r="B53" t="s">
        <v>807</v>
      </c>
      <c r="C53" t="s">
        <v>754</v>
      </c>
      <c r="D53" t="s">
        <v>795</v>
      </c>
      <c r="E53">
        <v>220936</v>
      </c>
      <c r="G53" s="2">
        <v>0.15347222222222223</v>
      </c>
      <c r="H53" s="2">
        <v>0.15555555555555556</v>
      </c>
      <c r="J53">
        <v>5.0062250340472597E-2</v>
      </c>
      <c r="K53" t="s">
        <v>767</v>
      </c>
      <c r="L53" t="str">
        <f t="shared" si="0"/>
        <v>37</v>
      </c>
      <c r="M53">
        <f t="shared" si="1"/>
        <v>0</v>
      </c>
      <c r="N53">
        <f t="shared" si="2"/>
        <v>0</v>
      </c>
    </row>
    <row r="54" spans="1:14">
      <c r="A54">
        <v>7710</v>
      </c>
      <c r="B54" t="s">
        <v>807</v>
      </c>
      <c r="C54" t="s">
        <v>754</v>
      </c>
      <c r="D54" t="s">
        <v>795</v>
      </c>
      <c r="E54">
        <v>220936</v>
      </c>
      <c r="G54" s="2">
        <v>0.15555555555555556</v>
      </c>
      <c r="H54" s="2">
        <v>0.15625</v>
      </c>
      <c r="J54">
        <v>1.6687416780157501E-2</v>
      </c>
      <c r="K54" t="s">
        <v>796</v>
      </c>
      <c r="L54" t="str">
        <f t="shared" si="0"/>
        <v>37</v>
      </c>
      <c r="M54">
        <f t="shared" si="1"/>
        <v>0</v>
      </c>
      <c r="N54">
        <f t="shared" si="2"/>
        <v>0</v>
      </c>
    </row>
    <row r="55" spans="1:14">
      <c r="A55">
        <v>7710</v>
      </c>
      <c r="B55" t="s">
        <v>807</v>
      </c>
      <c r="C55" t="s">
        <v>754</v>
      </c>
      <c r="D55" t="s">
        <v>795</v>
      </c>
      <c r="E55">
        <v>220936</v>
      </c>
      <c r="G55" s="2">
        <v>0.15625</v>
      </c>
      <c r="H55" s="2">
        <v>0.15902777777777777</v>
      </c>
      <c r="J55">
        <v>6.6749667120630199E-2</v>
      </c>
      <c r="K55" t="s">
        <v>767</v>
      </c>
      <c r="L55" t="str">
        <f t="shared" si="0"/>
        <v>37</v>
      </c>
      <c r="M55">
        <f t="shared" si="1"/>
        <v>0</v>
      </c>
      <c r="N55">
        <f t="shared" si="2"/>
        <v>0</v>
      </c>
    </row>
    <row r="56" spans="1:14">
      <c r="A56">
        <v>7710</v>
      </c>
      <c r="B56" t="s">
        <v>807</v>
      </c>
      <c r="C56" t="s">
        <v>754</v>
      </c>
      <c r="D56" t="s">
        <v>795</v>
      </c>
      <c r="E56">
        <v>220936</v>
      </c>
      <c r="G56" s="2">
        <v>0.15902777777777777</v>
      </c>
      <c r="H56" s="2">
        <v>0.17361111111111113</v>
      </c>
      <c r="J56">
        <v>0.35043575238330799</v>
      </c>
      <c r="K56" t="s">
        <v>796</v>
      </c>
      <c r="L56" t="str">
        <f t="shared" si="0"/>
        <v>37</v>
      </c>
      <c r="M56">
        <f t="shared" si="1"/>
        <v>0</v>
      </c>
      <c r="N56">
        <f t="shared" si="2"/>
        <v>0</v>
      </c>
    </row>
    <row r="57" spans="1:14">
      <c r="A57">
        <v>7710</v>
      </c>
      <c r="B57" t="s">
        <v>807</v>
      </c>
      <c r="C57" t="s">
        <v>754</v>
      </c>
      <c r="D57" t="s">
        <v>795</v>
      </c>
      <c r="E57">
        <v>220936</v>
      </c>
      <c r="G57" s="2">
        <v>0.17361111111111113</v>
      </c>
      <c r="H57" s="2">
        <v>0.22916666666666666</v>
      </c>
      <c r="J57">
        <v>1.3349933424125999</v>
      </c>
      <c r="K57" t="s">
        <v>799</v>
      </c>
      <c r="L57" t="str">
        <f t="shared" si="0"/>
        <v>33</v>
      </c>
      <c r="M57">
        <f t="shared" si="1"/>
        <v>0</v>
      </c>
      <c r="N57">
        <f t="shared" si="2"/>
        <v>0</v>
      </c>
    </row>
    <row r="58" spans="1:14">
      <c r="A58">
        <v>7970</v>
      </c>
      <c r="B58" t="s">
        <v>1172</v>
      </c>
      <c r="C58" t="s">
        <v>755</v>
      </c>
      <c r="D58" t="s">
        <v>1173</v>
      </c>
      <c r="E58">
        <v>902331</v>
      </c>
      <c r="G58" s="2">
        <v>0.46875</v>
      </c>
      <c r="H58" s="2">
        <v>0.60624999999999996</v>
      </c>
      <c r="J58">
        <v>3.3</v>
      </c>
      <c r="K58" t="s">
        <v>842</v>
      </c>
      <c r="L58" t="str">
        <f t="shared" si="0"/>
        <v>33</v>
      </c>
      <c r="M58">
        <f t="shared" si="1"/>
        <v>0</v>
      </c>
      <c r="N58">
        <f t="shared" si="2"/>
        <v>0</v>
      </c>
    </row>
    <row r="59" spans="1:14">
      <c r="A59">
        <v>7970</v>
      </c>
      <c r="B59" t="s">
        <v>1172</v>
      </c>
      <c r="C59" t="s">
        <v>755</v>
      </c>
      <c r="D59" t="s">
        <v>1173</v>
      </c>
      <c r="E59">
        <v>902331</v>
      </c>
      <c r="G59" s="2">
        <v>0.60624999999999996</v>
      </c>
      <c r="H59" s="2">
        <v>0.63402777777777775</v>
      </c>
      <c r="J59">
        <v>0.66666666666666696</v>
      </c>
      <c r="K59" t="s">
        <v>773</v>
      </c>
      <c r="L59" t="str">
        <f t="shared" si="0"/>
        <v>33</v>
      </c>
      <c r="M59">
        <f t="shared" si="1"/>
        <v>0</v>
      </c>
      <c r="N59">
        <f t="shared" si="2"/>
        <v>0</v>
      </c>
    </row>
    <row r="60" spans="1:14">
      <c r="A60">
        <v>7970</v>
      </c>
      <c r="B60" t="s">
        <v>1172</v>
      </c>
      <c r="C60" t="s">
        <v>755</v>
      </c>
      <c r="D60" t="s">
        <v>1173</v>
      </c>
      <c r="E60">
        <v>902331</v>
      </c>
      <c r="G60" s="2">
        <v>0.63402777777777775</v>
      </c>
      <c r="H60" s="2">
        <v>0.71875</v>
      </c>
      <c r="J60">
        <v>2.0333333333333199</v>
      </c>
      <c r="K60" t="s">
        <v>759</v>
      </c>
      <c r="L60" t="str">
        <f t="shared" si="0"/>
        <v>33</v>
      </c>
      <c r="M60">
        <f t="shared" si="1"/>
        <v>0</v>
      </c>
      <c r="N60">
        <f t="shared" si="2"/>
        <v>0</v>
      </c>
    </row>
    <row r="61" spans="1:14">
      <c r="A61">
        <v>8053</v>
      </c>
      <c r="B61" t="s">
        <v>809</v>
      </c>
      <c r="C61" t="s">
        <v>754</v>
      </c>
      <c r="D61" t="s">
        <v>775</v>
      </c>
      <c r="E61">
        <v>334712</v>
      </c>
      <c r="G61" s="2">
        <v>0.29166666666666669</v>
      </c>
      <c r="H61" s="2">
        <v>0.66666666666666663</v>
      </c>
      <c r="J61">
        <v>8.4950885292046507</v>
      </c>
      <c r="K61" t="s">
        <v>810</v>
      </c>
      <c r="L61" t="str">
        <f t="shared" si="0"/>
        <v>15</v>
      </c>
      <c r="M61">
        <f t="shared" si="1"/>
        <v>0</v>
      </c>
      <c r="N61">
        <f t="shared" si="2"/>
        <v>0</v>
      </c>
    </row>
    <row r="62" spans="1:14">
      <c r="A62">
        <v>7017</v>
      </c>
      <c r="B62" t="s">
        <v>1067</v>
      </c>
      <c r="C62" t="s">
        <v>754</v>
      </c>
      <c r="D62" t="s">
        <v>841</v>
      </c>
      <c r="E62">
        <v>19608</v>
      </c>
      <c r="G62" s="2">
        <v>0.21249999999999999</v>
      </c>
      <c r="H62" s="2">
        <v>0.2638888888888889</v>
      </c>
      <c r="J62">
        <v>1.17034558439186</v>
      </c>
      <c r="K62" t="s">
        <v>759</v>
      </c>
      <c r="L62" t="str">
        <f t="shared" si="0"/>
        <v>33</v>
      </c>
      <c r="M62">
        <f t="shared" si="1"/>
        <v>0</v>
      </c>
      <c r="N62">
        <f t="shared" si="2"/>
        <v>0</v>
      </c>
    </row>
    <row r="63" spans="1:14">
      <c r="A63">
        <v>7017</v>
      </c>
      <c r="B63" t="s">
        <v>1067</v>
      </c>
      <c r="C63" t="s">
        <v>754</v>
      </c>
      <c r="D63" t="s">
        <v>841</v>
      </c>
      <c r="E63">
        <v>19608</v>
      </c>
      <c r="G63" s="2">
        <v>0.2638888888888889</v>
      </c>
      <c r="H63" s="2">
        <v>0.46319444444444446</v>
      </c>
      <c r="J63">
        <v>4.5390430097360301</v>
      </c>
      <c r="K63" t="s">
        <v>760</v>
      </c>
      <c r="L63" t="str">
        <f t="shared" si="0"/>
        <v>33</v>
      </c>
      <c r="M63">
        <f t="shared" si="1"/>
        <v>0</v>
      </c>
      <c r="N63">
        <f t="shared" si="2"/>
        <v>0</v>
      </c>
    </row>
    <row r="64" spans="1:14">
      <c r="A64">
        <v>7017</v>
      </c>
      <c r="B64" t="s">
        <v>1067</v>
      </c>
      <c r="C64" t="s">
        <v>754</v>
      </c>
      <c r="D64" t="s">
        <v>841</v>
      </c>
      <c r="E64">
        <v>19608</v>
      </c>
      <c r="G64" s="2">
        <v>0.46319444444444446</v>
      </c>
      <c r="H64" s="2">
        <v>0.625</v>
      </c>
      <c r="J64">
        <v>3.6850070427473698</v>
      </c>
      <c r="K64" t="s">
        <v>833</v>
      </c>
      <c r="L64" t="str">
        <f t="shared" si="0"/>
        <v>33</v>
      </c>
      <c r="M64">
        <f t="shared" si="1"/>
        <v>0</v>
      </c>
      <c r="N64">
        <f t="shared" si="2"/>
        <v>0</v>
      </c>
    </row>
    <row r="65" spans="1:14">
      <c r="A65">
        <v>7247</v>
      </c>
      <c r="B65" t="s">
        <v>1174</v>
      </c>
      <c r="C65" t="s">
        <v>756</v>
      </c>
      <c r="E65">
        <v>315840</v>
      </c>
      <c r="G65" s="2">
        <v>0.41944444444444445</v>
      </c>
      <c r="H65" s="2">
        <v>0.75</v>
      </c>
      <c r="J65">
        <v>7.4292430682616697</v>
      </c>
      <c r="K65" t="s">
        <v>778</v>
      </c>
      <c r="L65" t="str">
        <f t="shared" si="0"/>
        <v>37</v>
      </c>
      <c r="M65">
        <f t="shared" si="1"/>
        <v>0</v>
      </c>
      <c r="N65">
        <f t="shared" si="2"/>
        <v>0</v>
      </c>
    </row>
    <row r="66" spans="1:14">
      <c r="A66">
        <v>7403</v>
      </c>
      <c r="B66" t="s">
        <v>811</v>
      </c>
      <c r="C66" t="s">
        <v>754</v>
      </c>
      <c r="D66" t="s">
        <v>757</v>
      </c>
      <c r="E66">
        <v>299388</v>
      </c>
      <c r="G66" s="2">
        <v>0.20833333333333334</v>
      </c>
      <c r="H66" s="2">
        <v>0.28958333333333336</v>
      </c>
      <c r="J66">
        <v>1.828125</v>
      </c>
      <c r="K66" t="s">
        <v>759</v>
      </c>
      <c r="L66" t="str">
        <f t="shared" ref="L66:L129" si="3">RIGHT(LEFT(K66,4),2)</f>
        <v>33</v>
      </c>
      <c r="M66">
        <f t="shared" ref="M66:M129" si="4">IF(I66=0,0,I66-H66)+IF(F66=0,0,G66-F66)</f>
        <v>0</v>
      </c>
      <c r="N66">
        <f t="shared" ref="N66:N129" si="5">(M66-INT(M66))*24</f>
        <v>0</v>
      </c>
    </row>
    <row r="67" spans="1:14">
      <c r="A67">
        <v>7403</v>
      </c>
      <c r="B67" t="s">
        <v>811</v>
      </c>
      <c r="C67" t="s">
        <v>754</v>
      </c>
      <c r="D67" t="s">
        <v>757</v>
      </c>
      <c r="E67">
        <v>299388</v>
      </c>
      <c r="G67" s="2">
        <v>0.28958333333333336</v>
      </c>
      <c r="H67" s="2">
        <v>0.29236111111111113</v>
      </c>
      <c r="J67">
        <v>6.25E-2</v>
      </c>
      <c r="K67" t="s">
        <v>798</v>
      </c>
      <c r="L67" t="str">
        <f t="shared" si="3"/>
        <v>33</v>
      </c>
      <c r="M67">
        <f t="shared" si="4"/>
        <v>0</v>
      </c>
      <c r="N67">
        <f t="shared" si="5"/>
        <v>0</v>
      </c>
    </row>
    <row r="68" spans="1:14">
      <c r="A68">
        <v>7403</v>
      </c>
      <c r="B68" t="s">
        <v>811</v>
      </c>
      <c r="C68" t="s">
        <v>754</v>
      </c>
      <c r="D68" t="s">
        <v>757</v>
      </c>
      <c r="E68">
        <v>299388</v>
      </c>
      <c r="G68" s="2">
        <v>0.29236111111111113</v>
      </c>
      <c r="H68" s="2">
        <v>0.37638888888888888</v>
      </c>
      <c r="J68">
        <v>1.890625</v>
      </c>
      <c r="K68" t="s">
        <v>799</v>
      </c>
      <c r="L68" t="str">
        <f t="shared" si="3"/>
        <v>33</v>
      </c>
      <c r="M68">
        <f t="shared" si="4"/>
        <v>0</v>
      </c>
      <c r="N68">
        <f t="shared" si="5"/>
        <v>0</v>
      </c>
    </row>
    <row r="69" spans="1:14">
      <c r="A69">
        <v>7403</v>
      </c>
      <c r="B69" t="s">
        <v>811</v>
      </c>
      <c r="C69" t="s">
        <v>754</v>
      </c>
      <c r="D69" t="s">
        <v>757</v>
      </c>
      <c r="E69">
        <v>299388</v>
      </c>
      <c r="G69" s="2">
        <v>0.37638888888888888</v>
      </c>
      <c r="H69" s="2">
        <v>0.54166666666666663</v>
      </c>
      <c r="J69">
        <v>3.71875</v>
      </c>
      <c r="K69" t="s">
        <v>798</v>
      </c>
      <c r="L69" t="str">
        <f t="shared" si="3"/>
        <v>33</v>
      </c>
      <c r="M69">
        <f t="shared" si="4"/>
        <v>0</v>
      </c>
      <c r="N69">
        <f t="shared" si="5"/>
        <v>0</v>
      </c>
    </row>
    <row r="70" spans="1:14">
      <c r="A70">
        <v>4129</v>
      </c>
      <c r="B70" t="s">
        <v>1175</v>
      </c>
      <c r="C70" t="s">
        <v>756</v>
      </c>
      <c r="E70">
        <v>918883</v>
      </c>
      <c r="G70" s="2">
        <v>0.22638888888888889</v>
      </c>
      <c r="H70" s="2">
        <v>0.55208333333333337</v>
      </c>
      <c r="J70">
        <v>7.3293200562982701</v>
      </c>
      <c r="K70" t="s">
        <v>778</v>
      </c>
      <c r="L70" t="str">
        <f t="shared" si="3"/>
        <v>37</v>
      </c>
      <c r="M70">
        <f t="shared" si="4"/>
        <v>0</v>
      </c>
      <c r="N70">
        <f t="shared" si="5"/>
        <v>0</v>
      </c>
    </row>
    <row r="71" spans="1:14">
      <c r="A71">
        <v>7020</v>
      </c>
      <c r="B71" t="s">
        <v>1176</v>
      </c>
      <c r="C71" t="s">
        <v>754</v>
      </c>
      <c r="D71" t="s">
        <v>757</v>
      </c>
      <c r="E71">
        <v>26283</v>
      </c>
      <c r="G71" s="2">
        <v>0.25347222222222221</v>
      </c>
      <c r="H71" s="2">
        <v>0.45833333333333331</v>
      </c>
      <c r="J71">
        <v>4.9320714285713896</v>
      </c>
      <c r="K71" t="s">
        <v>785</v>
      </c>
      <c r="L71" t="str">
        <f t="shared" si="3"/>
        <v>33</v>
      </c>
      <c r="M71">
        <f t="shared" si="4"/>
        <v>0</v>
      </c>
      <c r="N71">
        <f t="shared" si="5"/>
        <v>0</v>
      </c>
    </row>
    <row r="72" spans="1:14">
      <c r="A72">
        <v>7021</v>
      </c>
      <c r="B72" t="s">
        <v>1068</v>
      </c>
      <c r="C72" t="s">
        <v>754</v>
      </c>
      <c r="D72" t="s">
        <v>841</v>
      </c>
      <c r="E72">
        <v>22033</v>
      </c>
      <c r="G72" s="2">
        <v>0.21249999999999999</v>
      </c>
      <c r="H72" s="2">
        <v>0.40763888888888888</v>
      </c>
      <c r="J72">
        <v>4.4441501245150699</v>
      </c>
      <c r="K72" t="s">
        <v>773</v>
      </c>
      <c r="L72" t="str">
        <f t="shared" si="3"/>
        <v>33</v>
      </c>
      <c r="M72">
        <f t="shared" si="4"/>
        <v>0</v>
      </c>
      <c r="N72">
        <f t="shared" si="5"/>
        <v>0</v>
      </c>
    </row>
    <row r="73" spans="1:14">
      <c r="A73">
        <v>7021</v>
      </c>
      <c r="B73" t="s">
        <v>1068</v>
      </c>
      <c r="C73" t="s">
        <v>754</v>
      </c>
      <c r="D73" t="s">
        <v>841</v>
      </c>
      <c r="E73">
        <v>22033</v>
      </c>
      <c r="G73" s="2">
        <v>0.40763888888888888</v>
      </c>
      <c r="H73" s="2">
        <v>0.4152777777777778</v>
      </c>
      <c r="J73">
        <v>0.173970289571764</v>
      </c>
      <c r="K73" t="s">
        <v>843</v>
      </c>
      <c r="L73" t="str">
        <f t="shared" si="3"/>
        <v>33</v>
      </c>
      <c r="M73">
        <f t="shared" si="4"/>
        <v>0</v>
      </c>
      <c r="N73">
        <f t="shared" si="5"/>
        <v>0</v>
      </c>
    </row>
    <row r="74" spans="1:14">
      <c r="A74">
        <v>7021</v>
      </c>
      <c r="B74" t="s">
        <v>1068</v>
      </c>
      <c r="C74" t="s">
        <v>754</v>
      </c>
      <c r="D74" t="s">
        <v>841</v>
      </c>
      <c r="E74">
        <v>22033</v>
      </c>
      <c r="G74" s="2">
        <v>0.4152777777777778</v>
      </c>
      <c r="H74" s="2">
        <v>0.625</v>
      </c>
      <c r="J74">
        <v>4.7762752227884402</v>
      </c>
      <c r="K74" t="s">
        <v>842</v>
      </c>
      <c r="L74" t="str">
        <f t="shared" si="3"/>
        <v>33</v>
      </c>
      <c r="M74">
        <f t="shared" si="4"/>
        <v>0</v>
      </c>
      <c r="N74">
        <f t="shared" si="5"/>
        <v>0</v>
      </c>
    </row>
    <row r="75" spans="1:14">
      <c r="A75">
        <v>7540</v>
      </c>
      <c r="B75" t="s">
        <v>820</v>
      </c>
      <c r="C75" t="s">
        <v>755</v>
      </c>
      <c r="D75" t="s">
        <v>757</v>
      </c>
      <c r="E75">
        <v>107690</v>
      </c>
      <c r="G75" s="2">
        <v>0.21249999999999999</v>
      </c>
      <c r="H75" s="2">
        <v>0.3034722222222222</v>
      </c>
      <c r="J75">
        <v>2.0522164879416098</v>
      </c>
      <c r="K75" t="s">
        <v>760</v>
      </c>
      <c r="L75" t="str">
        <f t="shared" si="3"/>
        <v>33</v>
      </c>
      <c r="M75">
        <f t="shared" si="4"/>
        <v>0</v>
      </c>
      <c r="N75">
        <f t="shared" si="5"/>
        <v>0</v>
      </c>
    </row>
    <row r="76" spans="1:14">
      <c r="A76">
        <v>7540</v>
      </c>
      <c r="B76" t="s">
        <v>820</v>
      </c>
      <c r="C76" t="s">
        <v>755</v>
      </c>
      <c r="D76" t="s">
        <v>757</v>
      </c>
      <c r="E76">
        <v>107690</v>
      </c>
      <c r="G76" s="2">
        <v>0.3034722222222222</v>
      </c>
      <c r="H76" s="2">
        <v>0.4465277777777778</v>
      </c>
      <c r="J76">
        <v>3.2271495917249702</v>
      </c>
      <c r="K76" t="s">
        <v>799</v>
      </c>
      <c r="L76" t="str">
        <f t="shared" si="3"/>
        <v>33</v>
      </c>
      <c r="M76">
        <f t="shared" si="4"/>
        <v>0</v>
      </c>
      <c r="N76">
        <f t="shared" si="5"/>
        <v>0</v>
      </c>
    </row>
    <row r="77" spans="1:14">
      <c r="A77">
        <v>7540</v>
      </c>
      <c r="B77" t="s">
        <v>820</v>
      </c>
      <c r="C77" t="s">
        <v>755</v>
      </c>
      <c r="D77" t="s">
        <v>757</v>
      </c>
      <c r="E77">
        <v>107690</v>
      </c>
      <c r="G77" s="2">
        <v>0.4465277777777778</v>
      </c>
      <c r="H77" s="2">
        <v>0.44861111111111113</v>
      </c>
      <c r="J77">
        <v>4.6997324151334702E-2</v>
      </c>
      <c r="K77" t="s">
        <v>798</v>
      </c>
      <c r="L77" t="str">
        <f t="shared" si="3"/>
        <v>33</v>
      </c>
      <c r="M77">
        <f t="shared" si="4"/>
        <v>0</v>
      </c>
      <c r="N77">
        <f t="shared" si="5"/>
        <v>0</v>
      </c>
    </row>
    <row r="78" spans="1:14">
      <c r="A78">
        <v>7540</v>
      </c>
      <c r="B78" t="s">
        <v>820</v>
      </c>
      <c r="C78" t="s">
        <v>755</v>
      </c>
      <c r="D78" t="s">
        <v>757</v>
      </c>
      <c r="E78">
        <v>107690</v>
      </c>
      <c r="G78" s="2">
        <v>0.44861111111111113</v>
      </c>
      <c r="H78" s="2">
        <v>0.45277777777777778</v>
      </c>
      <c r="J78">
        <v>9.3994648302669404E-2</v>
      </c>
      <c r="K78" t="s">
        <v>800</v>
      </c>
      <c r="L78" t="str">
        <f t="shared" si="3"/>
        <v>33</v>
      </c>
      <c r="M78">
        <f t="shared" si="4"/>
        <v>0</v>
      </c>
      <c r="N78">
        <f t="shared" si="5"/>
        <v>0</v>
      </c>
    </row>
    <row r="79" spans="1:14">
      <c r="A79">
        <v>7540</v>
      </c>
      <c r="B79" t="s">
        <v>820</v>
      </c>
      <c r="C79" t="s">
        <v>755</v>
      </c>
      <c r="D79" t="s">
        <v>757</v>
      </c>
      <c r="E79">
        <v>107690</v>
      </c>
      <c r="G79" s="2">
        <v>0.45277777777777778</v>
      </c>
      <c r="H79" s="2">
        <v>0.4548611111111111</v>
      </c>
      <c r="J79">
        <v>4.6997324151334702E-2</v>
      </c>
      <c r="K79" t="s">
        <v>798</v>
      </c>
      <c r="L79" t="str">
        <f t="shared" si="3"/>
        <v>33</v>
      </c>
      <c r="M79">
        <f t="shared" si="4"/>
        <v>0</v>
      </c>
      <c r="N79">
        <f t="shared" si="5"/>
        <v>0</v>
      </c>
    </row>
    <row r="80" spans="1:14">
      <c r="A80">
        <v>7540</v>
      </c>
      <c r="B80" t="s">
        <v>820</v>
      </c>
      <c r="C80" t="s">
        <v>755</v>
      </c>
      <c r="D80" t="s">
        <v>757</v>
      </c>
      <c r="E80">
        <v>107690</v>
      </c>
      <c r="G80" s="2">
        <v>0.4548611111111111</v>
      </c>
      <c r="H80" s="2">
        <v>0.46736111111111112</v>
      </c>
      <c r="J80">
        <v>0.28198394490800799</v>
      </c>
      <c r="K80" t="s">
        <v>800</v>
      </c>
      <c r="L80" t="str">
        <f t="shared" si="3"/>
        <v>33</v>
      </c>
      <c r="M80">
        <f t="shared" si="4"/>
        <v>0</v>
      </c>
      <c r="N80">
        <f t="shared" si="5"/>
        <v>0</v>
      </c>
    </row>
    <row r="81" spans="1:14">
      <c r="A81">
        <v>7540</v>
      </c>
      <c r="B81" t="s">
        <v>820</v>
      </c>
      <c r="C81" t="s">
        <v>755</v>
      </c>
      <c r="D81" t="s">
        <v>757</v>
      </c>
      <c r="E81">
        <v>107690</v>
      </c>
      <c r="G81" s="2">
        <v>0.46736111111111112</v>
      </c>
      <c r="H81" s="2">
        <v>0.48333333333333334</v>
      </c>
      <c r="J81">
        <v>0.360312818493565</v>
      </c>
      <c r="K81" t="s">
        <v>798</v>
      </c>
      <c r="L81" t="str">
        <f t="shared" si="3"/>
        <v>33</v>
      </c>
      <c r="M81">
        <f t="shared" si="4"/>
        <v>0</v>
      </c>
      <c r="N81">
        <f t="shared" si="5"/>
        <v>0</v>
      </c>
    </row>
    <row r="82" spans="1:14">
      <c r="A82">
        <v>7540</v>
      </c>
      <c r="B82" t="s">
        <v>820</v>
      </c>
      <c r="C82" t="s">
        <v>755</v>
      </c>
      <c r="D82" t="s">
        <v>757</v>
      </c>
      <c r="E82">
        <v>107690</v>
      </c>
      <c r="G82" s="2">
        <v>0.48333333333333334</v>
      </c>
      <c r="H82" s="2">
        <v>0.4916666666666667</v>
      </c>
      <c r="J82">
        <v>0.187989296605338</v>
      </c>
      <c r="K82" t="s">
        <v>800</v>
      </c>
      <c r="L82" t="str">
        <f t="shared" si="3"/>
        <v>33</v>
      </c>
      <c r="M82">
        <f t="shared" si="4"/>
        <v>0</v>
      </c>
      <c r="N82">
        <f t="shared" si="5"/>
        <v>0</v>
      </c>
    </row>
    <row r="83" spans="1:14">
      <c r="A83">
        <v>7540</v>
      </c>
      <c r="B83" t="s">
        <v>820</v>
      </c>
      <c r="C83" t="s">
        <v>755</v>
      </c>
      <c r="D83" t="s">
        <v>757</v>
      </c>
      <c r="E83">
        <v>107690</v>
      </c>
      <c r="G83" s="2">
        <v>0.4916666666666667</v>
      </c>
      <c r="H83" s="2">
        <v>0.49375000000000002</v>
      </c>
      <c r="J83">
        <v>4.6997324151334702E-2</v>
      </c>
      <c r="K83" t="s">
        <v>798</v>
      </c>
      <c r="L83" t="str">
        <f t="shared" si="3"/>
        <v>33</v>
      </c>
      <c r="M83">
        <f t="shared" si="4"/>
        <v>0</v>
      </c>
      <c r="N83">
        <f t="shared" si="5"/>
        <v>0</v>
      </c>
    </row>
    <row r="84" spans="1:14">
      <c r="A84">
        <v>7540</v>
      </c>
      <c r="B84" t="s">
        <v>820</v>
      </c>
      <c r="C84" t="s">
        <v>755</v>
      </c>
      <c r="D84" t="s">
        <v>757</v>
      </c>
      <c r="E84">
        <v>107690</v>
      </c>
      <c r="G84" s="2">
        <v>0.49375000000000002</v>
      </c>
      <c r="H84" s="2">
        <v>0.49861111111111112</v>
      </c>
      <c r="J84">
        <v>0.109660423019781</v>
      </c>
      <c r="K84" t="s">
        <v>800</v>
      </c>
      <c r="L84" t="str">
        <f t="shared" si="3"/>
        <v>33</v>
      </c>
      <c r="M84">
        <f t="shared" si="4"/>
        <v>0</v>
      </c>
      <c r="N84">
        <f t="shared" si="5"/>
        <v>0</v>
      </c>
    </row>
    <row r="85" spans="1:14">
      <c r="A85">
        <v>7540</v>
      </c>
      <c r="B85" t="s">
        <v>820</v>
      </c>
      <c r="C85" t="s">
        <v>755</v>
      </c>
      <c r="D85" t="s">
        <v>757</v>
      </c>
      <c r="E85">
        <v>107690</v>
      </c>
      <c r="G85" s="2">
        <v>0.49861111111111112</v>
      </c>
      <c r="H85" s="2">
        <v>0.53472222222222221</v>
      </c>
      <c r="J85">
        <v>0.81462028528980002</v>
      </c>
      <c r="K85" t="s">
        <v>798</v>
      </c>
      <c r="L85" t="str">
        <f t="shared" si="3"/>
        <v>33</v>
      </c>
      <c r="M85">
        <f t="shared" si="4"/>
        <v>0</v>
      </c>
      <c r="N85">
        <f t="shared" si="5"/>
        <v>0</v>
      </c>
    </row>
    <row r="86" spans="1:14">
      <c r="A86">
        <v>7540</v>
      </c>
      <c r="B86" t="s">
        <v>820</v>
      </c>
      <c r="C86" t="s">
        <v>755</v>
      </c>
      <c r="D86" t="s">
        <v>757</v>
      </c>
      <c r="E86">
        <v>107690</v>
      </c>
      <c r="G86" s="2">
        <v>0.53472222222222221</v>
      </c>
      <c r="H86" s="2">
        <v>0.54652777777777783</v>
      </c>
      <c r="J86">
        <v>0.26631817019089599</v>
      </c>
      <c r="K86" t="s">
        <v>800</v>
      </c>
      <c r="L86" t="str">
        <f t="shared" si="3"/>
        <v>33</v>
      </c>
      <c r="M86">
        <f t="shared" si="4"/>
        <v>0</v>
      </c>
      <c r="N86">
        <f t="shared" si="5"/>
        <v>0</v>
      </c>
    </row>
    <row r="87" spans="1:14">
      <c r="A87">
        <v>7540</v>
      </c>
      <c r="B87" t="s">
        <v>820</v>
      </c>
      <c r="C87" t="s">
        <v>755</v>
      </c>
      <c r="D87" t="s">
        <v>757</v>
      </c>
      <c r="E87">
        <v>107690</v>
      </c>
      <c r="G87" s="2">
        <v>0.54652777777777783</v>
      </c>
      <c r="H87" s="2">
        <v>0.55277777777777781</v>
      </c>
      <c r="J87">
        <v>0.14099197245400399</v>
      </c>
      <c r="K87" t="s">
        <v>798</v>
      </c>
      <c r="L87" t="str">
        <f t="shared" si="3"/>
        <v>33</v>
      </c>
      <c r="M87">
        <f t="shared" si="4"/>
        <v>0</v>
      </c>
      <c r="N87">
        <f t="shared" si="5"/>
        <v>0</v>
      </c>
    </row>
    <row r="88" spans="1:14">
      <c r="A88">
        <v>7540</v>
      </c>
      <c r="B88" t="s">
        <v>820</v>
      </c>
      <c r="C88" t="s">
        <v>755</v>
      </c>
      <c r="D88" t="s">
        <v>757</v>
      </c>
      <c r="E88">
        <v>107690</v>
      </c>
      <c r="G88" s="2">
        <v>0.55277777777777781</v>
      </c>
      <c r="H88" s="2">
        <v>0.5625</v>
      </c>
      <c r="J88">
        <v>0.21932084603956101</v>
      </c>
      <c r="K88" t="s">
        <v>800</v>
      </c>
      <c r="L88" t="str">
        <f t="shared" si="3"/>
        <v>33</v>
      </c>
      <c r="M88">
        <f t="shared" si="4"/>
        <v>0</v>
      </c>
      <c r="N88">
        <f t="shared" si="5"/>
        <v>0</v>
      </c>
    </row>
    <row r="89" spans="1:14">
      <c r="A89">
        <v>4204</v>
      </c>
      <c r="B89" t="s">
        <v>1069</v>
      </c>
      <c r="C89" t="s">
        <v>756</v>
      </c>
      <c r="E89">
        <v>4204</v>
      </c>
      <c r="G89" s="2">
        <v>0.60347222222222219</v>
      </c>
      <c r="H89" s="2">
        <v>0.63680555555555551</v>
      </c>
      <c r="J89">
        <v>0.79969363166952601</v>
      </c>
      <c r="K89" t="s">
        <v>759</v>
      </c>
      <c r="L89" t="str">
        <f t="shared" si="3"/>
        <v>33</v>
      </c>
      <c r="M89">
        <f t="shared" si="4"/>
        <v>0</v>
      </c>
      <c r="N89">
        <f t="shared" si="5"/>
        <v>0</v>
      </c>
    </row>
    <row r="90" spans="1:14">
      <c r="A90">
        <v>4204</v>
      </c>
      <c r="B90" t="s">
        <v>1069</v>
      </c>
      <c r="C90" t="s">
        <v>756</v>
      </c>
      <c r="E90">
        <v>4204</v>
      </c>
      <c r="G90" s="2">
        <v>0.63680555555555551</v>
      </c>
      <c r="H90" s="2">
        <v>0.7729166666666667</v>
      </c>
      <c r="J90">
        <v>3.2654156626505602</v>
      </c>
      <c r="K90" t="s">
        <v>773</v>
      </c>
      <c r="L90" t="str">
        <f t="shared" si="3"/>
        <v>33</v>
      </c>
      <c r="M90">
        <f t="shared" si="4"/>
        <v>0</v>
      </c>
      <c r="N90">
        <f t="shared" si="5"/>
        <v>0</v>
      </c>
    </row>
    <row r="91" spans="1:14">
      <c r="A91">
        <v>4204</v>
      </c>
      <c r="B91" t="s">
        <v>1069</v>
      </c>
      <c r="C91" t="s">
        <v>756</v>
      </c>
      <c r="E91">
        <v>4204</v>
      </c>
      <c r="G91" s="2">
        <v>0.7729166666666667</v>
      </c>
      <c r="H91" s="2">
        <v>0.8340277777777777</v>
      </c>
      <c r="J91">
        <v>1.46610499139413</v>
      </c>
      <c r="K91" t="s">
        <v>759</v>
      </c>
      <c r="L91" t="str">
        <f t="shared" si="3"/>
        <v>33</v>
      </c>
      <c r="M91">
        <f t="shared" si="4"/>
        <v>0</v>
      </c>
      <c r="N91">
        <f t="shared" si="5"/>
        <v>0</v>
      </c>
    </row>
    <row r="92" spans="1:14">
      <c r="A92">
        <v>4114</v>
      </c>
      <c r="B92" t="s">
        <v>1071</v>
      </c>
      <c r="C92" t="s">
        <v>756</v>
      </c>
      <c r="E92">
        <v>917742</v>
      </c>
      <c r="G92" s="2">
        <v>0.46527777777777773</v>
      </c>
      <c r="H92" s="2">
        <v>0.6166666666666667</v>
      </c>
      <c r="J92">
        <v>3.6317465306121899</v>
      </c>
      <c r="K92" t="s">
        <v>816</v>
      </c>
      <c r="L92" t="str">
        <f t="shared" si="3"/>
        <v>46</v>
      </c>
      <c r="M92">
        <f t="shared" si="4"/>
        <v>0</v>
      </c>
      <c r="N92">
        <f t="shared" si="5"/>
        <v>0</v>
      </c>
    </row>
    <row r="93" spans="1:14">
      <c r="A93">
        <v>4114</v>
      </c>
      <c r="B93" t="s">
        <v>1071</v>
      </c>
      <c r="C93" t="s">
        <v>756</v>
      </c>
      <c r="E93">
        <v>917742</v>
      </c>
      <c r="G93" s="2">
        <v>0.6166666666666667</v>
      </c>
      <c r="H93" s="2">
        <v>0.6166666666666667</v>
      </c>
      <c r="J93">
        <v>0</v>
      </c>
      <c r="K93" t="s">
        <v>815</v>
      </c>
      <c r="L93" t="str">
        <f t="shared" si="3"/>
        <v>46</v>
      </c>
      <c r="M93">
        <f t="shared" si="4"/>
        <v>0</v>
      </c>
      <c r="N93">
        <f t="shared" si="5"/>
        <v>0</v>
      </c>
    </row>
    <row r="94" spans="1:14">
      <c r="A94">
        <v>4114</v>
      </c>
      <c r="B94" t="s">
        <v>1071</v>
      </c>
      <c r="C94" t="s">
        <v>756</v>
      </c>
      <c r="E94">
        <v>917742</v>
      </c>
      <c r="G94" s="2">
        <v>0.6166666666666667</v>
      </c>
      <c r="H94" s="2">
        <v>0.61805555555555558</v>
      </c>
      <c r="J94">
        <v>3.3318775510203603E-2</v>
      </c>
      <c r="K94" t="s">
        <v>816</v>
      </c>
      <c r="L94" t="str">
        <f t="shared" si="3"/>
        <v>46</v>
      </c>
      <c r="M94">
        <f t="shared" si="4"/>
        <v>0</v>
      </c>
      <c r="N94">
        <f t="shared" si="5"/>
        <v>0</v>
      </c>
    </row>
    <row r="95" spans="1:14">
      <c r="A95">
        <v>4114</v>
      </c>
      <c r="B95" t="s">
        <v>1071</v>
      </c>
      <c r="C95" t="s">
        <v>756</v>
      </c>
      <c r="E95">
        <v>917742</v>
      </c>
      <c r="G95" s="2">
        <v>0.61805555555555558</v>
      </c>
      <c r="H95" s="2">
        <v>0.61944444444444446</v>
      </c>
      <c r="J95">
        <v>3.3318775510203603E-2</v>
      </c>
      <c r="K95" t="s">
        <v>815</v>
      </c>
      <c r="L95" t="str">
        <f t="shared" si="3"/>
        <v>46</v>
      </c>
      <c r="M95">
        <f t="shared" si="4"/>
        <v>0</v>
      </c>
      <c r="N95">
        <f t="shared" si="5"/>
        <v>0</v>
      </c>
    </row>
    <row r="96" spans="1:14">
      <c r="A96">
        <v>4114</v>
      </c>
      <c r="B96" t="s">
        <v>1071</v>
      </c>
      <c r="C96" t="s">
        <v>756</v>
      </c>
      <c r="E96">
        <v>917742</v>
      </c>
      <c r="G96" s="2">
        <v>0.61944444444444446</v>
      </c>
      <c r="H96" s="2">
        <v>0.65277777777777779</v>
      </c>
      <c r="J96">
        <v>0.79965061224488798</v>
      </c>
      <c r="K96" t="s">
        <v>816</v>
      </c>
      <c r="L96" t="str">
        <f t="shared" si="3"/>
        <v>46</v>
      </c>
      <c r="M96">
        <f t="shared" si="4"/>
        <v>0</v>
      </c>
      <c r="N96">
        <f t="shared" si="5"/>
        <v>0</v>
      </c>
    </row>
    <row r="97" spans="1:14">
      <c r="A97">
        <v>4114</v>
      </c>
      <c r="B97" t="s">
        <v>1071</v>
      </c>
      <c r="C97" t="s">
        <v>756</v>
      </c>
      <c r="E97">
        <v>917742</v>
      </c>
      <c r="G97" s="2">
        <v>0.65277777777777779</v>
      </c>
      <c r="H97" s="2">
        <v>0.65347222222222223</v>
      </c>
      <c r="J97">
        <v>1.6659387755101802E-2</v>
      </c>
      <c r="K97" t="s">
        <v>815</v>
      </c>
      <c r="L97" t="str">
        <f t="shared" si="3"/>
        <v>46</v>
      </c>
      <c r="M97">
        <f t="shared" si="4"/>
        <v>0</v>
      </c>
      <c r="N97">
        <f t="shared" si="5"/>
        <v>0</v>
      </c>
    </row>
    <row r="98" spans="1:14">
      <c r="A98">
        <v>4114</v>
      </c>
      <c r="B98" t="s">
        <v>1071</v>
      </c>
      <c r="C98" t="s">
        <v>756</v>
      </c>
      <c r="E98">
        <v>917742</v>
      </c>
      <c r="G98" s="2">
        <v>0.65347222222222223</v>
      </c>
      <c r="H98" s="2">
        <v>0.65555555555555556</v>
      </c>
      <c r="J98">
        <v>4.9978163265305499E-2</v>
      </c>
      <c r="K98" t="s">
        <v>816</v>
      </c>
      <c r="L98" t="str">
        <f t="shared" si="3"/>
        <v>46</v>
      </c>
      <c r="M98">
        <f t="shared" si="4"/>
        <v>0</v>
      </c>
      <c r="N98">
        <f t="shared" si="5"/>
        <v>0</v>
      </c>
    </row>
    <row r="99" spans="1:14">
      <c r="A99">
        <v>4114</v>
      </c>
      <c r="B99" t="s">
        <v>1071</v>
      </c>
      <c r="C99" t="s">
        <v>756</v>
      </c>
      <c r="E99">
        <v>917742</v>
      </c>
      <c r="G99" s="2">
        <v>0.65555555555555556</v>
      </c>
      <c r="H99" s="2">
        <v>0.65833333333333333</v>
      </c>
      <c r="J99">
        <v>6.6637551020407304E-2</v>
      </c>
      <c r="K99" t="s">
        <v>817</v>
      </c>
      <c r="L99" t="str">
        <f t="shared" si="3"/>
        <v>46</v>
      </c>
      <c r="M99">
        <f t="shared" si="4"/>
        <v>0</v>
      </c>
      <c r="N99">
        <f t="shared" si="5"/>
        <v>0</v>
      </c>
    </row>
    <row r="100" spans="1:14">
      <c r="A100">
        <v>4114</v>
      </c>
      <c r="B100" t="s">
        <v>1071</v>
      </c>
      <c r="C100" t="s">
        <v>756</v>
      </c>
      <c r="E100">
        <v>917742</v>
      </c>
      <c r="G100" s="2">
        <v>0.65833333333333333</v>
      </c>
      <c r="H100" s="2">
        <v>0.70833333333333337</v>
      </c>
      <c r="J100">
        <v>1.19947591836733</v>
      </c>
      <c r="K100" t="s">
        <v>816</v>
      </c>
      <c r="L100" t="str">
        <f t="shared" si="3"/>
        <v>46</v>
      </c>
      <c r="M100">
        <f t="shared" si="4"/>
        <v>0</v>
      </c>
      <c r="N100">
        <f t="shared" si="5"/>
        <v>0</v>
      </c>
    </row>
    <row r="101" spans="1:14">
      <c r="A101">
        <v>7024</v>
      </c>
      <c r="B101" t="s">
        <v>822</v>
      </c>
      <c r="C101" t="s">
        <v>754</v>
      </c>
      <c r="D101" t="s">
        <v>823</v>
      </c>
      <c r="E101">
        <v>18956</v>
      </c>
      <c r="G101" s="2">
        <v>0.58402777777777781</v>
      </c>
      <c r="H101" s="2">
        <v>0.74930555555555556</v>
      </c>
      <c r="J101">
        <v>3.96445666323247</v>
      </c>
      <c r="K101" t="s">
        <v>824</v>
      </c>
      <c r="L101" t="str">
        <f t="shared" si="3"/>
        <v>33</v>
      </c>
      <c r="M101">
        <f t="shared" si="4"/>
        <v>0</v>
      </c>
      <c r="N101">
        <f t="shared" si="5"/>
        <v>0</v>
      </c>
    </row>
    <row r="102" spans="1:14">
      <c r="A102">
        <v>7024</v>
      </c>
      <c r="B102" t="s">
        <v>822</v>
      </c>
      <c r="C102" t="s">
        <v>754</v>
      </c>
      <c r="D102" t="s">
        <v>823</v>
      </c>
      <c r="E102">
        <v>18956</v>
      </c>
      <c r="G102" s="2">
        <v>0.74930555555555556</v>
      </c>
      <c r="H102" s="2">
        <v>0.74930555555555556</v>
      </c>
      <c r="J102">
        <v>0</v>
      </c>
      <c r="K102" t="s">
        <v>825</v>
      </c>
      <c r="L102" t="str">
        <f t="shared" si="3"/>
        <v>33</v>
      </c>
      <c r="M102">
        <f t="shared" si="4"/>
        <v>0</v>
      </c>
      <c r="N102">
        <f t="shared" si="5"/>
        <v>0</v>
      </c>
    </row>
    <row r="103" spans="1:14">
      <c r="A103">
        <v>7024</v>
      </c>
      <c r="B103" t="s">
        <v>822</v>
      </c>
      <c r="C103" t="s">
        <v>754</v>
      </c>
      <c r="D103" t="s">
        <v>823</v>
      </c>
      <c r="E103">
        <v>18956</v>
      </c>
      <c r="G103" s="2">
        <v>0.74930555555555556</v>
      </c>
      <c r="H103" s="2">
        <v>0.97916666666666663</v>
      </c>
      <c r="J103">
        <v>5.5135930904619697</v>
      </c>
      <c r="K103" t="s">
        <v>824</v>
      </c>
      <c r="L103" t="str">
        <f t="shared" si="3"/>
        <v>33</v>
      </c>
      <c r="M103">
        <f t="shared" si="4"/>
        <v>0</v>
      </c>
      <c r="N103">
        <f t="shared" si="5"/>
        <v>0</v>
      </c>
    </row>
    <row r="104" spans="1:14">
      <c r="A104">
        <v>7408</v>
      </c>
      <c r="B104" t="s">
        <v>826</v>
      </c>
      <c r="C104" t="s">
        <v>754</v>
      </c>
      <c r="D104" t="s">
        <v>777</v>
      </c>
      <c r="E104">
        <v>299374</v>
      </c>
      <c r="G104" s="2">
        <v>0.12847222222222224</v>
      </c>
      <c r="H104" s="2">
        <v>0.12986111111111112</v>
      </c>
      <c r="J104">
        <v>3.1281023445312202E-2</v>
      </c>
      <c r="K104" t="s">
        <v>798</v>
      </c>
      <c r="L104" t="str">
        <f t="shared" si="3"/>
        <v>33</v>
      </c>
      <c r="M104">
        <f t="shared" si="4"/>
        <v>0</v>
      </c>
      <c r="N104">
        <f t="shared" si="5"/>
        <v>0</v>
      </c>
    </row>
    <row r="105" spans="1:14">
      <c r="A105">
        <v>7408</v>
      </c>
      <c r="B105" t="s">
        <v>826</v>
      </c>
      <c r="C105" t="s">
        <v>754</v>
      </c>
      <c r="D105" t="s">
        <v>777</v>
      </c>
      <c r="E105">
        <v>299374</v>
      </c>
      <c r="G105" s="2">
        <v>0.12986111111111112</v>
      </c>
      <c r="H105" s="2">
        <v>0.26041666666666669</v>
      </c>
      <c r="J105">
        <v>2.9404162038593502</v>
      </c>
      <c r="K105" t="s">
        <v>768</v>
      </c>
      <c r="L105" t="str">
        <f t="shared" si="3"/>
        <v>46</v>
      </c>
      <c r="M105">
        <f t="shared" si="4"/>
        <v>0</v>
      </c>
      <c r="N105">
        <f t="shared" si="5"/>
        <v>0</v>
      </c>
    </row>
    <row r="106" spans="1:14">
      <c r="A106">
        <v>7408</v>
      </c>
      <c r="B106" t="s">
        <v>826</v>
      </c>
      <c r="C106" t="s">
        <v>754</v>
      </c>
      <c r="D106" t="s">
        <v>777</v>
      </c>
      <c r="E106">
        <v>299374</v>
      </c>
      <c r="G106" s="2">
        <v>0.26041666666666669</v>
      </c>
      <c r="H106" s="2">
        <v>0.2902777777777778</v>
      </c>
      <c r="J106">
        <v>0.67254200407421405</v>
      </c>
      <c r="K106" t="s">
        <v>767</v>
      </c>
      <c r="L106" t="str">
        <f t="shared" si="3"/>
        <v>37</v>
      </c>
      <c r="M106">
        <f t="shared" si="4"/>
        <v>0</v>
      </c>
      <c r="N106">
        <f t="shared" si="5"/>
        <v>0</v>
      </c>
    </row>
    <row r="107" spans="1:14">
      <c r="A107">
        <v>7408</v>
      </c>
      <c r="B107" t="s">
        <v>826</v>
      </c>
      <c r="C107" t="s">
        <v>754</v>
      </c>
      <c r="D107" t="s">
        <v>777</v>
      </c>
      <c r="E107">
        <v>299374</v>
      </c>
      <c r="G107" s="2">
        <v>0.2902777777777778</v>
      </c>
      <c r="H107" s="2">
        <v>0.33888888888888885</v>
      </c>
      <c r="J107">
        <v>1.0948358205859301</v>
      </c>
      <c r="K107" t="s">
        <v>827</v>
      </c>
      <c r="L107" t="str">
        <f t="shared" si="3"/>
        <v>37</v>
      </c>
      <c r="M107">
        <f t="shared" si="4"/>
        <v>0</v>
      </c>
      <c r="N107">
        <f t="shared" si="5"/>
        <v>0</v>
      </c>
    </row>
    <row r="108" spans="1:14">
      <c r="A108">
        <v>7408</v>
      </c>
      <c r="B108" t="s">
        <v>826</v>
      </c>
      <c r="C108" t="s">
        <v>754</v>
      </c>
      <c r="D108" t="s">
        <v>777</v>
      </c>
      <c r="E108">
        <v>299374</v>
      </c>
      <c r="G108" s="2">
        <v>0.33888888888888885</v>
      </c>
      <c r="H108" s="2">
        <v>0.40208333333333335</v>
      </c>
      <c r="J108">
        <v>1.4232865667617101</v>
      </c>
      <c r="K108" t="s">
        <v>767</v>
      </c>
      <c r="L108" t="str">
        <f t="shared" si="3"/>
        <v>37</v>
      </c>
      <c r="M108">
        <f t="shared" si="4"/>
        <v>0</v>
      </c>
      <c r="N108">
        <f t="shared" si="5"/>
        <v>0</v>
      </c>
    </row>
    <row r="109" spans="1:14">
      <c r="A109">
        <v>7408</v>
      </c>
      <c r="B109" t="s">
        <v>826</v>
      </c>
      <c r="C109" t="s">
        <v>754</v>
      </c>
      <c r="D109" t="s">
        <v>777</v>
      </c>
      <c r="E109">
        <v>299374</v>
      </c>
      <c r="G109" s="2">
        <v>0.40208333333333335</v>
      </c>
      <c r="H109" s="2">
        <v>0.45833333333333331</v>
      </c>
      <c r="J109">
        <v>1.2668814495351399</v>
      </c>
      <c r="K109" t="s">
        <v>778</v>
      </c>
      <c r="L109" t="str">
        <f t="shared" si="3"/>
        <v>37</v>
      </c>
      <c r="M109">
        <f t="shared" si="4"/>
        <v>0</v>
      </c>
      <c r="N109">
        <f t="shared" si="5"/>
        <v>0</v>
      </c>
    </row>
    <row r="110" spans="1:14">
      <c r="A110">
        <v>5286</v>
      </c>
      <c r="B110" t="s">
        <v>1072</v>
      </c>
      <c r="C110" t="s">
        <v>1073</v>
      </c>
      <c r="E110">
        <v>5286</v>
      </c>
      <c r="G110" s="2">
        <v>0.21875</v>
      </c>
      <c r="H110" s="2">
        <v>0.46875</v>
      </c>
      <c r="J110">
        <v>6</v>
      </c>
      <c r="K110" t="s">
        <v>759</v>
      </c>
      <c r="L110" t="str">
        <f t="shared" si="3"/>
        <v>33</v>
      </c>
      <c r="M110">
        <f t="shared" si="4"/>
        <v>0</v>
      </c>
      <c r="N110">
        <f t="shared" si="5"/>
        <v>0</v>
      </c>
    </row>
    <row r="111" spans="1:14">
      <c r="A111">
        <v>4205</v>
      </c>
      <c r="B111" t="s">
        <v>1074</v>
      </c>
      <c r="C111" t="s">
        <v>756</v>
      </c>
      <c r="E111">
        <v>4205</v>
      </c>
      <c r="G111" s="2">
        <v>0.59375</v>
      </c>
      <c r="H111" s="2">
        <v>0.64097222222222217</v>
      </c>
      <c r="J111">
        <v>1.1328480856319301</v>
      </c>
      <c r="K111" t="s">
        <v>759</v>
      </c>
      <c r="L111" t="str">
        <f t="shared" si="3"/>
        <v>33</v>
      </c>
      <c r="M111">
        <f t="shared" si="4"/>
        <v>0</v>
      </c>
      <c r="N111">
        <f t="shared" si="5"/>
        <v>0</v>
      </c>
    </row>
    <row r="112" spans="1:14">
      <c r="A112">
        <v>4205</v>
      </c>
      <c r="B112" t="s">
        <v>1074</v>
      </c>
      <c r="C112" t="s">
        <v>756</v>
      </c>
      <c r="E112">
        <v>4205</v>
      </c>
      <c r="G112" s="2">
        <v>0.64097222222222217</v>
      </c>
      <c r="H112" s="2">
        <v>0.79861111111111116</v>
      </c>
      <c r="J112">
        <v>3.7817134623301198</v>
      </c>
      <c r="K112" t="s">
        <v>773</v>
      </c>
      <c r="L112" t="str">
        <f t="shared" si="3"/>
        <v>33</v>
      </c>
      <c r="M112">
        <f t="shared" si="4"/>
        <v>0</v>
      </c>
      <c r="N112">
        <f t="shared" si="5"/>
        <v>0</v>
      </c>
    </row>
    <row r="113" spans="1:14">
      <c r="A113">
        <v>4205</v>
      </c>
      <c r="B113" t="s">
        <v>1074</v>
      </c>
      <c r="C113" t="s">
        <v>756</v>
      </c>
      <c r="E113">
        <v>4205</v>
      </c>
      <c r="G113" s="2">
        <v>0.79861111111111116</v>
      </c>
      <c r="H113" s="2">
        <v>0.83472222222222225</v>
      </c>
      <c r="J113">
        <v>0.86629559489500696</v>
      </c>
      <c r="K113" t="s">
        <v>759</v>
      </c>
      <c r="L113" t="str">
        <f t="shared" si="3"/>
        <v>33</v>
      </c>
      <c r="M113">
        <f t="shared" si="4"/>
        <v>0</v>
      </c>
      <c r="N113">
        <f t="shared" si="5"/>
        <v>0</v>
      </c>
    </row>
    <row r="114" spans="1:14">
      <c r="A114">
        <v>7029</v>
      </c>
      <c r="B114" t="s">
        <v>1177</v>
      </c>
      <c r="C114" t="s">
        <v>755</v>
      </c>
      <c r="D114">
        <v>65</v>
      </c>
      <c r="E114">
        <v>30698</v>
      </c>
      <c r="G114" s="2">
        <v>0.35138888888888892</v>
      </c>
      <c r="H114" s="2">
        <v>0.40208333333333335</v>
      </c>
      <c r="J114">
        <v>1.1237483139961</v>
      </c>
      <c r="K114" t="s">
        <v>891</v>
      </c>
      <c r="L114" t="str">
        <f t="shared" si="3"/>
        <v>65</v>
      </c>
      <c r="M114">
        <f t="shared" si="4"/>
        <v>0</v>
      </c>
      <c r="N114">
        <f t="shared" si="5"/>
        <v>0</v>
      </c>
    </row>
    <row r="115" spans="1:14">
      <c r="A115">
        <v>7029</v>
      </c>
      <c r="B115" t="s">
        <v>1177</v>
      </c>
      <c r="C115" t="s">
        <v>755</v>
      </c>
      <c r="D115">
        <v>65</v>
      </c>
      <c r="E115">
        <v>30698</v>
      </c>
      <c r="G115" s="2">
        <v>0.40208333333333335</v>
      </c>
      <c r="H115" s="2">
        <v>0.4680555555555555</v>
      </c>
      <c r="J115">
        <v>1.4624121894469699</v>
      </c>
      <c r="K115" t="s">
        <v>773</v>
      </c>
      <c r="L115" t="str">
        <f t="shared" si="3"/>
        <v>33</v>
      </c>
      <c r="M115">
        <f t="shared" si="4"/>
        <v>0</v>
      </c>
      <c r="N115">
        <f t="shared" si="5"/>
        <v>0</v>
      </c>
    </row>
    <row r="116" spans="1:14">
      <c r="A116">
        <v>7029</v>
      </c>
      <c r="B116" t="s">
        <v>1177</v>
      </c>
      <c r="C116" t="s">
        <v>755</v>
      </c>
      <c r="D116">
        <v>65</v>
      </c>
      <c r="E116">
        <v>30698</v>
      </c>
      <c r="G116" s="2">
        <v>0.4680555555555555</v>
      </c>
      <c r="H116" s="2">
        <v>0.6166666666666667</v>
      </c>
      <c r="J116">
        <v>3.2942758793858302</v>
      </c>
      <c r="K116" t="s">
        <v>891</v>
      </c>
      <c r="L116" t="str">
        <f t="shared" si="3"/>
        <v>65</v>
      </c>
      <c r="M116">
        <f t="shared" si="4"/>
        <v>0</v>
      </c>
      <c r="N116">
        <f t="shared" si="5"/>
        <v>0</v>
      </c>
    </row>
    <row r="117" spans="1:14">
      <c r="A117">
        <v>7483</v>
      </c>
      <c r="B117" t="s">
        <v>828</v>
      </c>
      <c r="C117" t="s">
        <v>754</v>
      </c>
      <c r="D117" t="s">
        <v>775</v>
      </c>
      <c r="E117">
        <v>82583</v>
      </c>
      <c r="G117" s="2">
        <v>0.33333333333333331</v>
      </c>
      <c r="H117" s="2">
        <v>0.6875</v>
      </c>
      <c r="J117">
        <v>8</v>
      </c>
      <c r="K117" t="s">
        <v>829</v>
      </c>
      <c r="L117" t="str">
        <f t="shared" si="3"/>
        <v>65</v>
      </c>
      <c r="M117">
        <f t="shared" si="4"/>
        <v>0</v>
      </c>
      <c r="N117">
        <f t="shared" si="5"/>
        <v>0</v>
      </c>
    </row>
    <row r="118" spans="1:14">
      <c r="A118">
        <v>7512</v>
      </c>
      <c r="B118" t="s">
        <v>1075</v>
      </c>
      <c r="C118" t="s">
        <v>754</v>
      </c>
      <c r="D118" t="s">
        <v>1076</v>
      </c>
      <c r="E118">
        <v>98682</v>
      </c>
      <c r="G118" s="2">
        <v>0.16597222222222222</v>
      </c>
      <c r="H118" s="2">
        <v>0.33611111111111108</v>
      </c>
      <c r="J118">
        <v>4.0720221606648099</v>
      </c>
      <c r="K118" t="s">
        <v>951</v>
      </c>
      <c r="L118" t="str">
        <f t="shared" si="3"/>
        <v>37</v>
      </c>
      <c r="M118">
        <f t="shared" si="4"/>
        <v>0</v>
      </c>
      <c r="N118">
        <f t="shared" si="5"/>
        <v>0</v>
      </c>
    </row>
    <row r="119" spans="1:14">
      <c r="A119">
        <v>7512</v>
      </c>
      <c r="B119" t="s">
        <v>1075</v>
      </c>
      <c r="C119" t="s">
        <v>754</v>
      </c>
      <c r="D119" t="s">
        <v>1076</v>
      </c>
      <c r="E119">
        <v>98682</v>
      </c>
      <c r="G119" s="2">
        <v>0.33611111111111108</v>
      </c>
      <c r="H119" s="2">
        <v>0.41666666666666669</v>
      </c>
      <c r="J119">
        <v>1.9279778393351701</v>
      </c>
      <c r="K119" t="s">
        <v>966</v>
      </c>
      <c r="L119" t="str">
        <f t="shared" si="3"/>
        <v>37</v>
      </c>
      <c r="M119">
        <f t="shared" si="4"/>
        <v>0</v>
      </c>
      <c r="N119">
        <f t="shared" si="5"/>
        <v>0</v>
      </c>
    </row>
    <row r="120" spans="1:14">
      <c r="A120">
        <v>7030</v>
      </c>
      <c r="B120" t="s">
        <v>1178</v>
      </c>
      <c r="C120" t="s">
        <v>754</v>
      </c>
      <c r="D120" t="s">
        <v>830</v>
      </c>
      <c r="E120">
        <v>19631</v>
      </c>
      <c r="G120" s="2">
        <v>0.51111111111111118</v>
      </c>
      <c r="H120" s="2">
        <v>0.56319444444444444</v>
      </c>
      <c r="J120">
        <v>1.2493107703681301</v>
      </c>
      <c r="K120" t="s">
        <v>759</v>
      </c>
      <c r="L120" t="str">
        <f t="shared" si="3"/>
        <v>33</v>
      </c>
      <c r="M120">
        <f t="shared" si="4"/>
        <v>0</v>
      </c>
      <c r="N120">
        <f t="shared" si="5"/>
        <v>0</v>
      </c>
    </row>
    <row r="121" spans="1:14">
      <c r="A121">
        <v>7030</v>
      </c>
      <c r="B121" t="s">
        <v>1178</v>
      </c>
      <c r="C121" t="s">
        <v>754</v>
      </c>
      <c r="D121" t="s">
        <v>830</v>
      </c>
      <c r="E121">
        <v>19631</v>
      </c>
      <c r="G121" s="2">
        <v>0.56319444444444444</v>
      </c>
      <c r="H121" s="2">
        <v>0.62013888888888891</v>
      </c>
      <c r="J121">
        <v>1.3659131089358201</v>
      </c>
      <c r="K121" t="s">
        <v>763</v>
      </c>
      <c r="L121" t="str">
        <f t="shared" si="3"/>
        <v>33</v>
      </c>
      <c r="M121">
        <f t="shared" si="4"/>
        <v>0</v>
      </c>
      <c r="N121">
        <f t="shared" si="5"/>
        <v>0</v>
      </c>
    </row>
    <row r="122" spans="1:14">
      <c r="A122">
        <v>7030</v>
      </c>
      <c r="B122" t="s">
        <v>1178</v>
      </c>
      <c r="C122" t="s">
        <v>754</v>
      </c>
      <c r="D122" t="s">
        <v>830</v>
      </c>
      <c r="E122">
        <v>19631</v>
      </c>
      <c r="G122" s="2">
        <v>0.62013888888888891</v>
      </c>
      <c r="H122" s="2">
        <v>0.89583333333333337</v>
      </c>
      <c r="J122">
        <v>6.6130183444819801</v>
      </c>
      <c r="K122" t="s">
        <v>831</v>
      </c>
      <c r="L122" t="str">
        <f t="shared" si="3"/>
        <v>33</v>
      </c>
      <c r="M122">
        <f t="shared" si="4"/>
        <v>0</v>
      </c>
      <c r="N122">
        <f t="shared" si="5"/>
        <v>0</v>
      </c>
    </row>
    <row r="123" spans="1:14">
      <c r="A123">
        <v>7913</v>
      </c>
      <c r="B123" t="s">
        <v>1179</v>
      </c>
      <c r="C123" t="s">
        <v>755</v>
      </c>
      <c r="D123" t="s">
        <v>832</v>
      </c>
      <c r="E123">
        <v>801188</v>
      </c>
      <c r="G123" s="2">
        <v>0.4236111111111111</v>
      </c>
      <c r="H123" s="2">
        <v>0.46111111111111108</v>
      </c>
      <c r="J123">
        <v>0.84552499254045099</v>
      </c>
      <c r="K123" t="s">
        <v>778</v>
      </c>
      <c r="L123" t="str">
        <f t="shared" si="3"/>
        <v>37</v>
      </c>
      <c r="M123">
        <f t="shared" si="4"/>
        <v>0</v>
      </c>
      <c r="N123">
        <f t="shared" si="5"/>
        <v>0</v>
      </c>
    </row>
    <row r="124" spans="1:14">
      <c r="A124">
        <v>7913</v>
      </c>
      <c r="B124" t="s">
        <v>1179</v>
      </c>
      <c r="C124" t="s">
        <v>755</v>
      </c>
      <c r="D124" t="s">
        <v>832</v>
      </c>
      <c r="E124">
        <v>801188</v>
      </c>
      <c r="G124" s="2">
        <v>0.46111111111111108</v>
      </c>
      <c r="H124" s="2">
        <v>0.4861111111111111</v>
      </c>
      <c r="J124">
        <v>0.56368332836030099</v>
      </c>
      <c r="K124" t="s">
        <v>815</v>
      </c>
      <c r="L124" t="str">
        <f t="shared" si="3"/>
        <v>46</v>
      </c>
      <c r="M124">
        <f t="shared" si="4"/>
        <v>0</v>
      </c>
      <c r="N124">
        <f t="shared" si="5"/>
        <v>0</v>
      </c>
    </row>
    <row r="125" spans="1:14">
      <c r="A125">
        <v>7913</v>
      </c>
      <c r="B125" t="s">
        <v>1179</v>
      </c>
      <c r="C125" t="s">
        <v>755</v>
      </c>
      <c r="D125" t="s">
        <v>832</v>
      </c>
      <c r="E125">
        <v>801188</v>
      </c>
      <c r="G125" s="2">
        <v>0.4861111111111111</v>
      </c>
      <c r="H125" s="2">
        <v>0.48958333333333331</v>
      </c>
      <c r="J125">
        <v>7.8289351161152904E-2</v>
      </c>
      <c r="K125" t="s">
        <v>787</v>
      </c>
      <c r="L125" t="str">
        <f t="shared" si="3"/>
        <v>33</v>
      </c>
      <c r="M125">
        <f t="shared" si="4"/>
        <v>0</v>
      </c>
      <c r="N125">
        <f t="shared" si="5"/>
        <v>0</v>
      </c>
    </row>
    <row r="126" spans="1:14">
      <c r="A126">
        <v>7913</v>
      </c>
      <c r="B126" t="s">
        <v>1179</v>
      </c>
      <c r="C126" t="s">
        <v>755</v>
      </c>
      <c r="D126" t="s">
        <v>832</v>
      </c>
      <c r="E126">
        <v>801188</v>
      </c>
      <c r="G126" s="2">
        <v>0.56388888888888888</v>
      </c>
      <c r="H126" s="2">
        <v>0.58263888888888882</v>
      </c>
      <c r="J126">
        <v>0.422762496270225</v>
      </c>
      <c r="K126" t="s">
        <v>759</v>
      </c>
      <c r="L126" t="str">
        <f t="shared" si="3"/>
        <v>33</v>
      </c>
      <c r="M126">
        <f t="shared" si="4"/>
        <v>0</v>
      </c>
      <c r="N126">
        <f t="shared" si="5"/>
        <v>0</v>
      </c>
    </row>
    <row r="127" spans="1:14">
      <c r="A127">
        <v>7913</v>
      </c>
      <c r="B127" t="s">
        <v>1179</v>
      </c>
      <c r="C127" t="s">
        <v>755</v>
      </c>
      <c r="D127" t="s">
        <v>832</v>
      </c>
      <c r="E127">
        <v>801188</v>
      </c>
      <c r="G127" s="2">
        <v>0.58263888888888882</v>
      </c>
      <c r="H127" s="2">
        <v>0.58819444444444446</v>
      </c>
      <c r="J127">
        <v>0.125262961857844</v>
      </c>
      <c r="K127" t="s">
        <v>798</v>
      </c>
      <c r="L127" t="str">
        <f t="shared" si="3"/>
        <v>33</v>
      </c>
      <c r="M127">
        <f t="shared" si="4"/>
        <v>0</v>
      </c>
      <c r="N127">
        <f t="shared" si="5"/>
        <v>0</v>
      </c>
    </row>
    <row r="128" spans="1:14">
      <c r="A128">
        <v>7913</v>
      </c>
      <c r="B128" t="s">
        <v>1179</v>
      </c>
      <c r="C128" t="s">
        <v>755</v>
      </c>
      <c r="D128" t="s">
        <v>832</v>
      </c>
      <c r="E128">
        <v>801188</v>
      </c>
      <c r="G128" s="2">
        <v>0.58819444444444446</v>
      </c>
      <c r="H128" s="2">
        <v>0.59861111111111109</v>
      </c>
      <c r="J128">
        <v>0.23486805348345799</v>
      </c>
      <c r="K128" t="s">
        <v>799</v>
      </c>
      <c r="L128" t="str">
        <f t="shared" si="3"/>
        <v>33</v>
      </c>
      <c r="M128">
        <f t="shared" si="4"/>
        <v>0</v>
      </c>
      <c r="N128">
        <f t="shared" si="5"/>
        <v>0</v>
      </c>
    </row>
    <row r="129" spans="1:14">
      <c r="A129">
        <v>7913</v>
      </c>
      <c r="B129" t="s">
        <v>1179</v>
      </c>
      <c r="C129" t="s">
        <v>755</v>
      </c>
      <c r="D129" t="s">
        <v>832</v>
      </c>
      <c r="E129">
        <v>801188</v>
      </c>
      <c r="G129" s="2">
        <v>0.59861111111111109</v>
      </c>
      <c r="H129" s="2">
        <v>0.63263888888888886</v>
      </c>
      <c r="J129">
        <v>0.767235641379299</v>
      </c>
      <c r="K129" t="s">
        <v>798</v>
      </c>
      <c r="L129" t="str">
        <f t="shared" si="3"/>
        <v>33</v>
      </c>
      <c r="M129">
        <f t="shared" si="4"/>
        <v>0</v>
      </c>
      <c r="N129">
        <f t="shared" si="5"/>
        <v>0</v>
      </c>
    </row>
    <row r="130" spans="1:14">
      <c r="A130">
        <v>7913</v>
      </c>
      <c r="B130" t="s">
        <v>1179</v>
      </c>
      <c r="C130" t="s">
        <v>755</v>
      </c>
      <c r="D130" t="s">
        <v>832</v>
      </c>
      <c r="E130">
        <v>801188</v>
      </c>
      <c r="G130" s="2">
        <v>0.63263888888888886</v>
      </c>
      <c r="H130" s="2">
        <v>0.63402777777777775</v>
      </c>
      <c r="J130">
        <v>3.1315740464461103E-2</v>
      </c>
      <c r="K130" t="s">
        <v>800</v>
      </c>
      <c r="L130" t="str">
        <f t="shared" ref="L130:L193" si="6">RIGHT(LEFT(K130,4),2)</f>
        <v>33</v>
      </c>
      <c r="M130">
        <f t="shared" ref="M130:M193" si="7">IF(I130=0,0,I130-H130)+IF(F130=0,0,G130-F130)</f>
        <v>0</v>
      </c>
      <c r="N130">
        <f t="shared" ref="N130:N193" si="8">(M130-INT(M130))*24</f>
        <v>0</v>
      </c>
    </row>
    <row r="131" spans="1:14">
      <c r="A131">
        <v>7913</v>
      </c>
      <c r="B131" t="s">
        <v>1179</v>
      </c>
      <c r="C131" t="s">
        <v>755</v>
      </c>
      <c r="D131" t="s">
        <v>832</v>
      </c>
      <c r="E131">
        <v>801188</v>
      </c>
      <c r="G131" s="2">
        <v>0.63402777777777775</v>
      </c>
      <c r="H131" s="2">
        <v>0.63541666666666663</v>
      </c>
      <c r="J131">
        <v>3.1315740464461103E-2</v>
      </c>
      <c r="K131" t="s">
        <v>798</v>
      </c>
      <c r="L131" t="str">
        <f t="shared" si="6"/>
        <v>33</v>
      </c>
      <c r="M131">
        <f t="shared" si="7"/>
        <v>0</v>
      </c>
      <c r="N131">
        <f t="shared" si="8"/>
        <v>0</v>
      </c>
    </row>
    <row r="132" spans="1:14">
      <c r="A132">
        <v>7913</v>
      </c>
      <c r="B132" t="s">
        <v>1179</v>
      </c>
      <c r="C132" t="s">
        <v>755</v>
      </c>
      <c r="D132" t="s">
        <v>832</v>
      </c>
      <c r="E132">
        <v>801188</v>
      </c>
      <c r="G132" s="2">
        <v>0.63541666666666663</v>
      </c>
      <c r="H132" s="2">
        <v>0.63958333333333328</v>
      </c>
      <c r="J132">
        <v>9.3947221393383504E-2</v>
      </c>
      <c r="K132" t="s">
        <v>806</v>
      </c>
      <c r="L132" t="str">
        <f t="shared" si="6"/>
        <v>33</v>
      </c>
      <c r="M132">
        <f t="shared" si="7"/>
        <v>0</v>
      </c>
      <c r="N132">
        <f t="shared" si="8"/>
        <v>0</v>
      </c>
    </row>
    <row r="133" spans="1:14">
      <c r="A133">
        <v>7913</v>
      </c>
      <c r="B133" t="s">
        <v>1179</v>
      </c>
      <c r="C133" t="s">
        <v>755</v>
      </c>
      <c r="D133" t="s">
        <v>832</v>
      </c>
      <c r="E133">
        <v>801188</v>
      </c>
      <c r="G133" s="2">
        <v>0.63958333333333328</v>
      </c>
      <c r="H133" s="2">
        <v>0.64375000000000004</v>
      </c>
      <c r="J133">
        <v>9.3947221393383504E-2</v>
      </c>
      <c r="K133" t="s">
        <v>800</v>
      </c>
      <c r="L133" t="str">
        <f t="shared" si="6"/>
        <v>33</v>
      </c>
      <c r="M133">
        <f t="shared" si="7"/>
        <v>0</v>
      </c>
      <c r="N133">
        <f t="shared" si="8"/>
        <v>0</v>
      </c>
    </row>
    <row r="134" spans="1:14">
      <c r="A134">
        <v>7913</v>
      </c>
      <c r="B134" t="s">
        <v>1179</v>
      </c>
      <c r="C134" t="s">
        <v>755</v>
      </c>
      <c r="D134" t="s">
        <v>832</v>
      </c>
      <c r="E134">
        <v>801188</v>
      </c>
      <c r="G134" s="2">
        <v>0.64375000000000004</v>
      </c>
      <c r="H134" s="2">
        <v>0.66041666666666665</v>
      </c>
      <c r="J134">
        <v>0.37578888557353402</v>
      </c>
      <c r="K134" t="s">
        <v>798</v>
      </c>
      <c r="L134" t="str">
        <f t="shared" si="6"/>
        <v>33</v>
      </c>
      <c r="M134">
        <f t="shared" si="7"/>
        <v>0</v>
      </c>
      <c r="N134">
        <f t="shared" si="8"/>
        <v>0</v>
      </c>
    </row>
    <row r="135" spans="1:14">
      <c r="A135">
        <v>7913</v>
      </c>
      <c r="B135" t="s">
        <v>1179</v>
      </c>
      <c r="C135" t="s">
        <v>755</v>
      </c>
      <c r="D135" t="s">
        <v>832</v>
      </c>
      <c r="E135">
        <v>801188</v>
      </c>
      <c r="G135" s="2">
        <v>0.66041666666666665</v>
      </c>
      <c r="H135" s="2">
        <v>0.67152777777777783</v>
      </c>
      <c r="J135">
        <v>0.25052592371568899</v>
      </c>
      <c r="K135" t="s">
        <v>800</v>
      </c>
      <c r="L135" t="str">
        <f t="shared" si="6"/>
        <v>33</v>
      </c>
      <c r="M135">
        <f t="shared" si="7"/>
        <v>0</v>
      </c>
      <c r="N135">
        <f t="shared" si="8"/>
        <v>0</v>
      </c>
    </row>
    <row r="136" spans="1:14">
      <c r="A136">
        <v>7913</v>
      </c>
      <c r="B136" t="s">
        <v>1179</v>
      </c>
      <c r="C136" t="s">
        <v>755</v>
      </c>
      <c r="D136" t="s">
        <v>832</v>
      </c>
      <c r="E136">
        <v>801188</v>
      </c>
      <c r="G136" s="2">
        <v>0.67152777777777783</v>
      </c>
      <c r="H136" s="2">
        <v>0.77083333333333337</v>
      </c>
      <c r="J136">
        <v>2.2390754432089701</v>
      </c>
      <c r="K136" t="s">
        <v>798</v>
      </c>
      <c r="L136" t="str">
        <f t="shared" si="6"/>
        <v>33</v>
      </c>
      <c r="M136">
        <f t="shared" si="7"/>
        <v>0</v>
      </c>
      <c r="N136">
        <f t="shared" si="8"/>
        <v>0</v>
      </c>
    </row>
    <row r="137" spans="1:14">
      <c r="A137">
        <v>7822</v>
      </c>
      <c r="B137" t="s">
        <v>1180</v>
      </c>
      <c r="C137" t="s">
        <v>755</v>
      </c>
      <c r="D137" t="s">
        <v>1181</v>
      </c>
      <c r="E137">
        <v>462240</v>
      </c>
      <c r="G137" s="2">
        <v>0.37986111111111115</v>
      </c>
      <c r="H137" s="2">
        <v>0.46388888888888885</v>
      </c>
      <c r="J137">
        <v>1.8877231903506899</v>
      </c>
      <c r="K137" t="s">
        <v>767</v>
      </c>
      <c r="L137" t="str">
        <f t="shared" si="6"/>
        <v>37</v>
      </c>
      <c r="M137">
        <f t="shared" si="7"/>
        <v>0</v>
      </c>
      <c r="N137">
        <f t="shared" si="8"/>
        <v>0</v>
      </c>
    </row>
    <row r="138" spans="1:14">
      <c r="A138">
        <v>7822</v>
      </c>
      <c r="B138" t="s">
        <v>1180</v>
      </c>
      <c r="C138" t="s">
        <v>755</v>
      </c>
      <c r="D138" t="s">
        <v>1181</v>
      </c>
      <c r="E138">
        <v>462240</v>
      </c>
      <c r="G138" s="2">
        <v>0.46388888888888885</v>
      </c>
      <c r="H138" s="2">
        <v>0.70833333333333337</v>
      </c>
      <c r="J138">
        <v>5.4915583719292798</v>
      </c>
      <c r="K138" t="s">
        <v>790</v>
      </c>
      <c r="L138" t="str">
        <f t="shared" si="6"/>
        <v>46</v>
      </c>
      <c r="M138">
        <f t="shared" si="7"/>
        <v>0</v>
      </c>
      <c r="N138">
        <f t="shared" si="8"/>
        <v>0</v>
      </c>
    </row>
    <row r="139" spans="1:14">
      <c r="A139">
        <v>7776</v>
      </c>
      <c r="B139" t="s">
        <v>1077</v>
      </c>
      <c r="C139" t="s">
        <v>755</v>
      </c>
      <c r="D139" t="s">
        <v>832</v>
      </c>
      <c r="E139">
        <v>431025</v>
      </c>
      <c r="G139" s="2">
        <v>0.46527777777777773</v>
      </c>
      <c r="H139" s="2">
        <v>0.56527777777777777</v>
      </c>
      <c r="J139">
        <v>2.3987333134412001</v>
      </c>
      <c r="K139" t="s">
        <v>790</v>
      </c>
      <c r="L139" t="str">
        <f t="shared" si="6"/>
        <v>46</v>
      </c>
      <c r="M139">
        <f t="shared" si="7"/>
        <v>0</v>
      </c>
      <c r="N139">
        <f t="shared" si="8"/>
        <v>0</v>
      </c>
    </row>
    <row r="140" spans="1:14">
      <c r="A140">
        <v>7776</v>
      </c>
      <c r="B140" t="s">
        <v>1077</v>
      </c>
      <c r="C140" t="s">
        <v>755</v>
      </c>
      <c r="D140" t="s">
        <v>832</v>
      </c>
      <c r="E140">
        <v>431025</v>
      </c>
      <c r="G140" s="2">
        <v>0.56527777777777777</v>
      </c>
      <c r="H140" s="2">
        <v>0.63749999999999996</v>
      </c>
      <c r="J140">
        <v>1.73241850415197</v>
      </c>
      <c r="K140" t="s">
        <v>767</v>
      </c>
      <c r="L140" t="str">
        <f t="shared" si="6"/>
        <v>37</v>
      </c>
      <c r="M140">
        <f t="shared" si="7"/>
        <v>0</v>
      </c>
      <c r="N140">
        <f t="shared" si="8"/>
        <v>0</v>
      </c>
    </row>
    <row r="141" spans="1:14">
      <c r="A141">
        <v>7776</v>
      </c>
      <c r="B141" t="s">
        <v>1077</v>
      </c>
      <c r="C141" t="s">
        <v>755</v>
      </c>
      <c r="D141" t="s">
        <v>832</v>
      </c>
      <c r="E141">
        <v>431025</v>
      </c>
      <c r="G141" s="2">
        <v>0.63749999999999996</v>
      </c>
      <c r="H141" s="2">
        <v>0.68472222222222223</v>
      </c>
      <c r="J141">
        <v>1.1327351757916699</v>
      </c>
      <c r="K141" t="s">
        <v>778</v>
      </c>
      <c r="L141" t="str">
        <f t="shared" si="6"/>
        <v>37</v>
      </c>
      <c r="M141">
        <f t="shared" si="7"/>
        <v>0</v>
      </c>
      <c r="N141">
        <f t="shared" si="8"/>
        <v>0</v>
      </c>
    </row>
    <row r="142" spans="1:14">
      <c r="A142">
        <v>7776</v>
      </c>
      <c r="B142" t="s">
        <v>1077</v>
      </c>
      <c r="C142" t="s">
        <v>755</v>
      </c>
      <c r="D142" t="s">
        <v>832</v>
      </c>
      <c r="E142">
        <v>431025</v>
      </c>
      <c r="G142" s="2">
        <v>0.68472222222222223</v>
      </c>
      <c r="H142" s="2">
        <v>0.73055555555555562</v>
      </c>
      <c r="J142">
        <v>1.09941943532721</v>
      </c>
      <c r="K142" t="s">
        <v>815</v>
      </c>
      <c r="L142" t="str">
        <f t="shared" si="6"/>
        <v>46</v>
      </c>
      <c r="M142">
        <f t="shared" si="7"/>
        <v>0</v>
      </c>
      <c r="N142">
        <f t="shared" si="8"/>
        <v>0</v>
      </c>
    </row>
    <row r="143" spans="1:14">
      <c r="A143">
        <v>7776</v>
      </c>
      <c r="B143" t="s">
        <v>1077</v>
      </c>
      <c r="C143" t="s">
        <v>755</v>
      </c>
      <c r="D143" t="s">
        <v>832</v>
      </c>
      <c r="E143">
        <v>431025</v>
      </c>
      <c r="G143" s="2">
        <v>0.73055555555555562</v>
      </c>
      <c r="H143" s="2">
        <v>0.76875000000000004</v>
      </c>
      <c r="J143">
        <v>0.91618286277268102</v>
      </c>
      <c r="K143" t="s">
        <v>790</v>
      </c>
      <c r="L143" t="str">
        <f t="shared" si="6"/>
        <v>46</v>
      </c>
      <c r="M143">
        <f t="shared" si="7"/>
        <v>0</v>
      </c>
      <c r="N143">
        <f t="shared" si="8"/>
        <v>0</v>
      </c>
    </row>
    <row r="144" spans="1:14">
      <c r="A144">
        <v>7776</v>
      </c>
      <c r="B144" t="s">
        <v>1077</v>
      </c>
      <c r="C144" t="s">
        <v>755</v>
      </c>
      <c r="D144" t="s">
        <v>832</v>
      </c>
      <c r="E144">
        <v>431025</v>
      </c>
      <c r="G144" s="2">
        <v>0.76875000000000004</v>
      </c>
      <c r="H144" s="2">
        <v>0.8125</v>
      </c>
      <c r="J144">
        <v>1.0494458246305201</v>
      </c>
      <c r="K144" t="s">
        <v>778</v>
      </c>
      <c r="L144" t="str">
        <f t="shared" si="6"/>
        <v>37</v>
      </c>
      <c r="M144">
        <f t="shared" si="7"/>
        <v>0</v>
      </c>
      <c r="N144">
        <f t="shared" si="8"/>
        <v>0</v>
      </c>
    </row>
    <row r="145" spans="1:14">
      <c r="A145">
        <v>7549</v>
      </c>
      <c r="B145" t="s">
        <v>1078</v>
      </c>
      <c r="C145" t="s">
        <v>754</v>
      </c>
      <c r="D145" t="s">
        <v>795</v>
      </c>
      <c r="E145">
        <v>112958</v>
      </c>
      <c r="G145" s="2">
        <v>0.84513888888888899</v>
      </c>
      <c r="H145" s="2">
        <v>0.85069444444444453</v>
      </c>
      <c r="J145">
        <v>0.133500791664171</v>
      </c>
      <c r="K145" t="s">
        <v>796</v>
      </c>
      <c r="L145" t="str">
        <f t="shared" si="6"/>
        <v>37</v>
      </c>
      <c r="M145">
        <f t="shared" si="7"/>
        <v>0</v>
      </c>
      <c r="N145">
        <f t="shared" si="8"/>
        <v>0</v>
      </c>
    </row>
    <row r="146" spans="1:14">
      <c r="A146">
        <v>7549</v>
      </c>
      <c r="B146" t="s">
        <v>1078</v>
      </c>
      <c r="C146" t="s">
        <v>754</v>
      </c>
      <c r="D146" t="s">
        <v>795</v>
      </c>
      <c r="E146">
        <v>112958</v>
      </c>
      <c r="G146" s="2">
        <v>0.85069444444444453</v>
      </c>
      <c r="H146" s="2">
        <v>0.8534722222222223</v>
      </c>
      <c r="J146">
        <v>6.6750395832086001E-2</v>
      </c>
      <c r="K146" t="s">
        <v>797</v>
      </c>
      <c r="L146" t="str">
        <f t="shared" si="6"/>
        <v>37</v>
      </c>
      <c r="M146">
        <f t="shared" si="7"/>
        <v>0</v>
      </c>
      <c r="N146">
        <f t="shared" si="8"/>
        <v>0</v>
      </c>
    </row>
    <row r="147" spans="1:14">
      <c r="A147">
        <v>7549</v>
      </c>
      <c r="B147" t="s">
        <v>1078</v>
      </c>
      <c r="C147" t="s">
        <v>754</v>
      </c>
      <c r="D147" t="s">
        <v>795</v>
      </c>
      <c r="E147">
        <v>112958</v>
      </c>
      <c r="G147" s="2">
        <v>0.8534722222222223</v>
      </c>
      <c r="H147" s="2">
        <v>0.8833333333333333</v>
      </c>
      <c r="J147">
        <v>0.71756675519492497</v>
      </c>
      <c r="K147" t="s">
        <v>796</v>
      </c>
      <c r="L147" t="str">
        <f t="shared" si="6"/>
        <v>37</v>
      </c>
      <c r="M147">
        <f t="shared" si="7"/>
        <v>0</v>
      </c>
      <c r="N147">
        <f t="shared" si="8"/>
        <v>0</v>
      </c>
    </row>
    <row r="148" spans="1:14">
      <c r="A148">
        <v>7549</v>
      </c>
      <c r="B148" t="s">
        <v>1078</v>
      </c>
      <c r="C148" t="s">
        <v>754</v>
      </c>
      <c r="D148" t="s">
        <v>795</v>
      </c>
      <c r="E148">
        <v>112958</v>
      </c>
      <c r="G148" s="2">
        <v>0.8833333333333333</v>
      </c>
      <c r="H148" s="2">
        <v>0.88541666666666663</v>
      </c>
      <c r="J148">
        <v>5.0062796874064501E-2</v>
      </c>
      <c r="K148" t="s">
        <v>797</v>
      </c>
      <c r="L148" t="str">
        <f t="shared" si="6"/>
        <v>37</v>
      </c>
      <c r="M148">
        <f t="shared" si="7"/>
        <v>0</v>
      </c>
      <c r="N148">
        <f t="shared" si="8"/>
        <v>0</v>
      </c>
    </row>
    <row r="149" spans="1:14">
      <c r="A149">
        <v>7549</v>
      </c>
      <c r="B149" t="s">
        <v>1078</v>
      </c>
      <c r="C149" t="s">
        <v>754</v>
      </c>
      <c r="D149" t="s">
        <v>795</v>
      </c>
      <c r="E149">
        <v>112958</v>
      </c>
      <c r="G149" s="2">
        <v>0.88541666666666663</v>
      </c>
      <c r="H149" s="2">
        <v>0.90347222222222223</v>
      </c>
      <c r="J149">
        <v>0.43387757290855899</v>
      </c>
      <c r="K149" t="s">
        <v>796</v>
      </c>
      <c r="L149" t="str">
        <f t="shared" si="6"/>
        <v>37</v>
      </c>
      <c r="M149">
        <f t="shared" si="7"/>
        <v>0</v>
      </c>
      <c r="N149">
        <f t="shared" si="8"/>
        <v>0</v>
      </c>
    </row>
    <row r="150" spans="1:14">
      <c r="A150">
        <v>7549</v>
      </c>
      <c r="B150" t="s">
        <v>1078</v>
      </c>
      <c r="C150" t="s">
        <v>754</v>
      </c>
      <c r="D150" t="s">
        <v>795</v>
      </c>
      <c r="E150">
        <v>112958</v>
      </c>
      <c r="G150" s="2">
        <v>0.90347222222222223</v>
      </c>
      <c r="H150" s="2">
        <v>0.90486111111111101</v>
      </c>
      <c r="J150">
        <v>3.3375197916042897E-2</v>
      </c>
      <c r="K150" t="s">
        <v>797</v>
      </c>
      <c r="L150" t="str">
        <f t="shared" si="6"/>
        <v>37</v>
      </c>
      <c r="M150">
        <f t="shared" si="7"/>
        <v>0</v>
      </c>
      <c r="N150">
        <f t="shared" si="8"/>
        <v>0</v>
      </c>
    </row>
    <row r="151" spans="1:14">
      <c r="A151">
        <v>7549</v>
      </c>
      <c r="B151" t="s">
        <v>1078</v>
      </c>
      <c r="C151" t="s">
        <v>754</v>
      </c>
      <c r="D151" t="s">
        <v>795</v>
      </c>
      <c r="E151">
        <v>112958</v>
      </c>
      <c r="G151" s="2">
        <v>0.90486111111111101</v>
      </c>
      <c r="H151" s="2">
        <v>2.0833333333333333E-3</v>
      </c>
      <c r="J151">
        <v>2.3362638541229699</v>
      </c>
      <c r="K151" t="s">
        <v>796</v>
      </c>
      <c r="L151" t="str">
        <f t="shared" si="6"/>
        <v>37</v>
      </c>
      <c r="M151">
        <f t="shared" si="7"/>
        <v>0</v>
      </c>
      <c r="N151">
        <f t="shared" si="8"/>
        <v>0</v>
      </c>
    </row>
    <row r="152" spans="1:14">
      <c r="A152">
        <v>7549</v>
      </c>
      <c r="B152" t="s">
        <v>1078</v>
      </c>
      <c r="C152" t="s">
        <v>754</v>
      </c>
      <c r="D152" t="s">
        <v>795</v>
      </c>
      <c r="E152">
        <v>112958</v>
      </c>
      <c r="G152" s="2">
        <v>2.0833333333333333E-3</v>
      </c>
      <c r="H152" s="2">
        <v>3.2638888888888891E-2</v>
      </c>
      <c r="J152">
        <v>0.73425435415294604</v>
      </c>
      <c r="K152" t="s">
        <v>797</v>
      </c>
      <c r="L152" t="str">
        <f t="shared" si="6"/>
        <v>37</v>
      </c>
      <c r="M152">
        <f t="shared" si="7"/>
        <v>0</v>
      </c>
      <c r="N152">
        <f t="shared" si="8"/>
        <v>0</v>
      </c>
    </row>
    <row r="153" spans="1:14">
      <c r="A153">
        <v>7549</v>
      </c>
      <c r="B153" t="s">
        <v>1078</v>
      </c>
      <c r="C153" t="s">
        <v>754</v>
      </c>
      <c r="D153" t="s">
        <v>795</v>
      </c>
      <c r="E153">
        <v>112958</v>
      </c>
      <c r="G153" s="2">
        <v>3.2638888888888891E-2</v>
      </c>
      <c r="H153" s="2">
        <v>8.6111111111111124E-2</v>
      </c>
      <c r="J153">
        <v>1.28494511976765</v>
      </c>
      <c r="K153" t="s">
        <v>796</v>
      </c>
      <c r="L153" t="str">
        <f t="shared" si="6"/>
        <v>37</v>
      </c>
      <c r="M153">
        <f t="shared" si="7"/>
        <v>0</v>
      </c>
      <c r="N153">
        <f t="shared" si="8"/>
        <v>0</v>
      </c>
    </row>
    <row r="154" spans="1:14">
      <c r="A154">
        <v>7549</v>
      </c>
      <c r="B154" t="s">
        <v>1078</v>
      </c>
      <c r="C154" t="s">
        <v>754</v>
      </c>
      <c r="D154" t="s">
        <v>795</v>
      </c>
      <c r="E154">
        <v>112958</v>
      </c>
      <c r="G154" s="2">
        <v>8.6111111111111124E-2</v>
      </c>
      <c r="H154" s="2">
        <v>8.7499999999999994E-2</v>
      </c>
      <c r="J154">
        <v>3.3375197916042897E-2</v>
      </c>
      <c r="K154" t="s">
        <v>797</v>
      </c>
      <c r="L154" t="str">
        <f t="shared" si="6"/>
        <v>37</v>
      </c>
      <c r="M154">
        <f t="shared" si="7"/>
        <v>0</v>
      </c>
      <c r="N154">
        <f t="shared" si="8"/>
        <v>0</v>
      </c>
    </row>
    <row r="155" spans="1:14">
      <c r="A155">
        <v>7549</v>
      </c>
      <c r="B155" t="s">
        <v>1078</v>
      </c>
      <c r="C155" t="s">
        <v>754</v>
      </c>
      <c r="D155" t="s">
        <v>795</v>
      </c>
      <c r="E155">
        <v>112958</v>
      </c>
      <c r="G155" s="2">
        <v>8.7499999999999994E-2</v>
      </c>
      <c r="H155" s="2">
        <v>0.11180555555555556</v>
      </c>
      <c r="J155">
        <v>0.58406596353075202</v>
      </c>
      <c r="K155" t="s">
        <v>796</v>
      </c>
      <c r="L155" t="str">
        <f t="shared" si="6"/>
        <v>37</v>
      </c>
      <c r="M155">
        <f t="shared" si="7"/>
        <v>0</v>
      </c>
      <c r="N155">
        <f t="shared" si="8"/>
        <v>0</v>
      </c>
    </row>
    <row r="156" spans="1:14">
      <c r="A156">
        <v>7549</v>
      </c>
      <c r="B156" t="s">
        <v>1078</v>
      </c>
      <c r="C156" t="s">
        <v>754</v>
      </c>
      <c r="D156" t="s">
        <v>795</v>
      </c>
      <c r="E156">
        <v>112958</v>
      </c>
      <c r="G156" s="2">
        <v>0.11180555555555556</v>
      </c>
      <c r="H156" s="2">
        <v>0.11597222222222221</v>
      </c>
      <c r="J156">
        <v>0.100125593748129</v>
      </c>
      <c r="K156" t="s">
        <v>797</v>
      </c>
      <c r="L156" t="str">
        <f t="shared" si="6"/>
        <v>37</v>
      </c>
      <c r="M156">
        <f t="shared" si="7"/>
        <v>0</v>
      </c>
      <c r="N156">
        <f t="shared" si="8"/>
        <v>0</v>
      </c>
    </row>
    <row r="157" spans="1:14">
      <c r="A157">
        <v>7549</v>
      </c>
      <c r="B157" t="s">
        <v>1078</v>
      </c>
      <c r="C157" t="s">
        <v>754</v>
      </c>
      <c r="D157" t="s">
        <v>795</v>
      </c>
      <c r="E157">
        <v>112958</v>
      </c>
      <c r="G157" s="2">
        <v>0.11597222222222221</v>
      </c>
      <c r="H157" s="2">
        <v>0.11805555555555557</v>
      </c>
      <c r="J157">
        <v>5.0062796874064501E-2</v>
      </c>
      <c r="K157" t="s">
        <v>796</v>
      </c>
      <c r="L157" t="str">
        <f t="shared" si="6"/>
        <v>37</v>
      </c>
      <c r="M157">
        <f t="shared" si="7"/>
        <v>0</v>
      </c>
      <c r="N157">
        <f t="shared" si="8"/>
        <v>0</v>
      </c>
    </row>
    <row r="158" spans="1:14">
      <c r="A158">
        <v>7549</v>
      </c>
      <c r="B158" t="s">
        <v>1078</v>
      </c>
      <c r="C158" t="s">
        <v>754</v>
      </c>
      <c r="D158" t="s">
        <v>795</v>
      </c>
      <c r="E158">
        <v>112958</v>
      </c>
      <c r="G158" s="2">
        <v>0.11805555555555557</v>
      </c>
      <c r="H158" s="2">
        <v>0.13958333333333334</v>
      </c>
      <c r="J158">
        <v>0.51731556769866704</v>
      </c>
      <c r="K158" t="s">
        <v>797</v>
      </c>
      <c r="L158" t="str">
        <f t="shared" si="6"/>
        <v>37</v>
      </c>
      <c r="M158">
        <f t="shared" si="7"/>
        <v>0</v>
      </c>
      <c r="N158">
        <f t="shared" si="8"/>
        <v>0</v>
      </c>
    </row>
    <row r="159" spans="1:14">
      <c r="A159">
        <v>7549</v>
      </c>
      <c r="B159" t="s">
        <v>1078</v>
      </c>
      <c r="C159" t="s">
        <v>754</v>
      </c>
      <c r="D159" t="s">
        <v>795</v>
      </c>
      <c r="E159">
        <v>112958</v>
      </c>
      <c r="G159" s="2">
        <v>0.13958333333333334</v>
      </c>
      <c r="H159" s="2">
        <v>0.14097222222222222</v>
      </c>
      <c r="J159">
        <v>3.3375197916042897E-2</v>
      </c>
      <c r="K159" t="s">
        <v>767</v>
      </c>
      <c r="L159" t="str">
        <f t="shared" si="6"/>
        <v>37</v>
      </c>
      <c r="M159">
        <f t="shared" si="7"/>
        <v>0</v>
      </c>
      <c r="N159">
        <f t="shared" si="8"/>
        <v>0</v>
      </c>
    </row>
    <row r="160" spans="1:14">
      <c r="A160">
        <v>7549</v>
      </c>
      <c r="B160" t="s">
        <v>1078</v>
      </c>
      <c r="C160" t="s">
        <v>754</v>
      </c>
      <c r="D160" t="s">
        <v>795</v>
      </c>
      <c r="E160">
        <v>112958</v>
      </c>
      <c r="G160" s="2">
        <v>0.14097222222222222</v>
      </c>
      <c r="H160" s="2">
        <v>0.14305555555555557</v>
      </c>
      <c r="J160">
        <v>5.0062796874064501E-2</v>
      </c>
      <c r="K160" t="s">
        <v>796</v>
      </c>
      <c r="L160" t="str">
        <f t="shared" si="6"/>
        <v>37</v>
      </c>
      <c r="M160">
        <f t="shared" si="7"/>
        <v>0</v>
      </c>
      <c r="N160">
        <f t="shared" si="8"/>
        <v>0</v>
      </c>
    </row>
    <row r="161" spans="1:14">
      <c r="A161">
        <v>7549</v>
      </c>
      <c r="B161" t="s">
        <v>1078</v>
      </c>
      <c r="C161" t="s">
        <v>754</v>
      </c>
      <c r="D161" t="s">
        <v>795</v>
      </c>
      <c r="E161">
        <v>112958</v>
      </c>
      <c r="G161" s="2">
        <v>0.14305555555555557</v>
      </c>
      <c r="H161" s="2">
        <v>0.15138888888888888</v>
      </c>
      <c r="J161">
        <v>0.200251187496258</v>
      </c>
      <c r="K161" t="s">
        <v>767</v>
      </c>
      <c r="L161" t="str">
        <f t="shared" si="6"/>
        <v>37</v>
      </c>
      <c r="M161">
        <f t="shared" si="7"/>
        <v>0</v>
      </c>
      <c r="N161">
        <f t="shared" si="8"/>
        <v>0</v>
      </c>
    </row>
    <row r="162" spans="1:14">
      <c r="A162">
        <v>7549</v>
      </c>
      <c r="B162" t="s">
        <v>1078</v>
      </c>
      <c r="C162" t="s">
        <v>754</v>
      </c>
      <c r="D162" t="s">
        <v>795</v>
      </c>
      <c r="E162">
        <v>112958</v>
      </c>
      <c r="G162" s="2">
        <v>0.15138888888888888</v>
      </c>
      <c r="H162" s="2">
        <v>0.15277777777777776</v>
      </c>
      <c r="J162">
        <v>3.3375197916042897E-2</v>
      </c>
      <c r="K162" t="s">
        <v>796</v>
      </c>
      <c r="L162" t="str">
        <f t="shared" si="6"/>
        <v>37</v>
      </c>
      <c r="M162">
        <f t="shared" si="7"/>
        <v>0</v>
      </c>
      <c r="N162">
        <f t="shared" si="8"/>
        <v>0</v>
      </c>
    </row>
    <row r="163" spans="1:14">
      <c r="A163">
        <v>7549</v>
      </c>
      <c r="B163" t="s">
        <v>1078</v>
      </c>
      <c r="C163" t="s">
        <v>754</v>
      </c>
      <c r="D163" t="s">
        <v>795</v>
      </c>
      <c r="E163">
        <v>112958</v>
      </c>
      <c r="G163" s="2">
        <v>0.15277777777777776</v>
      </c>
      <c r="H163" s="2">
        <v>0.15555555555555556</v>
      </c>
      <c r="J163">
        <v>6.6750395832086001E-2</v>
      </c>
      <c r="K163" t="s">
        <v>767</v>
      </c>
      <c r="L163" t="str">
        <f t="shared" si="6"/>
        <v>37</v>
      </c>
      <c r="M163">
        <f t="shared" si="7"/>
        <v>0</v>
      </c>
      <c r="N163">
        <f t="shared" si="8"/>
        <v>0</v>
      </c>
    </row>
    <row r="164" spans="1:14">
      <c r="A164">
        <v>7549</v>
      </c>
      <c r="B164" t="s">
        <v>1078</v>
      </c>
      <c r="C164" t="s">
        <v>754</v>
      </c>
      <c r="D164" t="s">
        <v>795</v>
      </c>
      <c r="E164">
        <v>112958</v>
      </c>
      <c r="G164" s="2">
        <v>0.15555555555555556</v>
      </c>
      <c r="H164" s="2">
        <v>0.15625</v>
      </c>
      <c r="J164">
        <v>1.66875989580215E-2</v>
      </c>
      <c r="K164" t="s">
        <v>796</v>
      </c>
      <c r="L164" t="str">
        <f t="shared" si="6"/>
        <v>37</v>
      </c>
      <c r="M164">
        <f t="shared" si="7"/>
        <v>0</v>
      </c>
      <c r="N164">
        <f t="shared" si="8"/>
        <v>0</v>
      </c>
    </row>
    <row r="165" spans="1:14">
      <c r="A165">
        <v>7549</v>
      </c>
      <c r="B165" t="s">
        <v>1078</v>
      </c>
      <c r="C165" t="s">
        <v>754</v>
      </c>
      <c r="D165" t="s">
        <v>795</v>
      </c>
      <c r="E165">
        <v>112958</v>
      </c>
      <c r="G165" s="2">
        <v>0.15625</v>
      </c>
      <c r="H165" s="2">
        <v>0.15902777777777777</v>
      </c>
      <c r="J165">
        <v>6.6750395832086001E-2</v>
      </c>
      <c r="K165" t="s">
        <v>767</v>
      </c>
      <c r="L165" t="str">
        <f t="shared" si="6"/>
        <v>37</v>
      </c>
      <c r="M165">
        <f t="shared" si="7"/>
        <v>0</v>
      </c>
      <c r="N165">
        <f t="shared" si="8"/>
        <v>0</v>
      </c>
    </row>
    <row r="166" spans="1:14">
      <c r="A166">
        <v>7549</v>
      </c>
      <c r="B166" t="s">
        <v>1078</v>
      </c>
      <c r="C166" t="s">
        <v>754</v>
      </c>
      <c r="D166" t="s">
        <v>795</v>
      </c>
      <c r="E166">
        <v>112958</v>
      </c>
      <c r="G166" s="2">
        <v>0.15902777777777777</v>
      </c>
      <c r="H166" s="2">
        <v>0.19097222222222221</v>
      </c>
      <c r="J166">
        <v>0.76762955206898797</v>
      </c>
      <c r="K166" t="s">
        <v>796</v>
      </c>
      <c r="L166" t="str">
        <f t="shared" si="6"/>
        <v>37</v>
      </c>
      <c r="M166">
        <f t="shared" si="7"/>
        <v>0</v>
      </c>
      <c r="N166">
        <f t="shared" si="8"/>
        <v>0</v>
      </c>
    </row>
    <row r="167" spans="1:14">
      <c r="A167">
        <v>7549</v>
      </c>
      <c r="B167" t="s">
        <v>1078</v>
      </c>
      <c r="C167" t="s">
        <v>754</v>
      </c>
      <c r="D167" t="s">
        <v>795</v>
      </c>
      <c r="E167">
        <v>112958</v>
      </c>
      <c r="G167" s="2">
        <v>0.19097222222222221</v>
      </c>
      <c r="H167" s="2">
        <v>0.22916666666666666</v>
      </c>
      <c r="J167">
        <v>0.917817942691182</v>
      </c>
      <c r="K167" t="s">
        <v>799</v>
      </c>
      <c r="L167" t="str">
        <f t="shared" si="6"/>
        <v>33</v>
      </c>
      <c r="M167">
        <f t="shared" si="7"/>
        <v>0</v>
      </c>
      <c r="N167">
        <f t="shared" si="8"/>
        <v>0</v>
      </c>
    </row>
    <row r="168" spans="1:14">
      <c r="A168">
        <v>4134</v>
      </c>
      <c r="B168" t="s">
        <v>1182</v>
      </c>
      <c r="C168" t="s">
        <v>756</v>
      </c>
      <c r="E168">
        <v>923671</v>
      </c>
      <c r="G168" s="2">
        <v>0.22500000000000001</v>
      </c>
      <c r="H168" s="2">
        <v>0.55208333333333337</v>
      </c>
      <c r="J168">
        <v>7.3459738916255004</v>
      </c>
      <c r="K168" t="s">
        <v>759</v>
      </c>
      <c r="L168" t="str">
        <f t="shared" si="6"/>
        <v>33</v>
      </c>
      <c r="M168">
        <f t="shared" si="7"/>
        <v>0</v>
      </c>
      <c r="N168">
        <f t="shared" si="8"/>
        <v>0</v>
      </c>
    </row>
    <row r="169" spans="1:14">
      <c r="A169">
        <v>7076</v>
      </c>
      <c r="B169" t="s">
        <v>1183</v>
      </c>
      <c r="C169" t="s">
        <v>755</v>
      </c>
      <c r="D169" t="s">
        <v>757</v>
      </c>
      <c r="E169">
        <v>253693</v>
      </c>
      <c r="G169" s="2">
        <v>0.22083333333333333</v>
      </c>
      <c r="H169" s="2">
        <v>0.29583333333333334</v>
      </c>
      <c r="J169">
        <v>1.7991788715485899</v>
      </c>
      <c r="K169" t="s">
        <v>759</v>
      </c>
      <c r="L169" t="str">
        <f t="shared" si="6"/>
        <v>33</v>
      </c>
      <c r="M169">
        <f t="shared" si="7"/>
        <v>0</v>
      </c>
      <c r="N169">
        <f t="shared" si="8"/>
        <v>0</v>
      </c>
    </row>
    <row r="170" spans="1:14">
      <c r="A170">
        <v>7076</v>
      </c>
      <c r="B170" t="s">
        <v>1183</v>
      </c>
      <c r="C170" t="s">
        <v>755</v>
      </c>
      <c r="D170" t="s">
        <v>757</v>
      </c>
      <c r="E170">
        <v>253693</v>
      </c>
      <c r="G170" s="2">
        <v>0.29583333333333334</v>
      </c>
      <c r="H170" s="2">
        <v>0.36180555555555555</v>
      </c>
      <c r="J170">
        <v>1.5826110444177399</v>
      </c>
      <c r="K170" t="s">
        <v>763</v>
      </c>
      <c r="L170" t="str">
        <f t="shared" si="6"/>
        <v>33</v>
      </c>
      <c r="M170">
        <f t="shared" si="7"/>
        <v>0</v>
      </c>
      <c r="N170">
        <f t="shared" si="8"/>
        <v>0</v>
      </c>
    </row>
    <row r="171" spans="1:14">
      <c r="A171">
        <v>7076</v>
      </c>
      <c r="B171" t="s">
        <v>1183</v>
      </c>
      <c r="C171" t="s">
        <v>755</v>
      </c>
      <c r="D171" t="s">
        <v>757</v>
      </c>
      <c r="E171">
        <v>253693</v>
      </c>
      <c r="G171" s="2">
        <v>0.36180555555555555</v>
      </c>
      <c r="H171" s="2">
        <v>0.46875</v>
      </c>
      <c r="J171">
        <v>2.5654957983192901</v>
      </c>
      <c r="K171" t="s">
        <v>773</v>
      </c>
      <c r="L171" t="str">
        <f t="shared" si="6"/>
        <v>33</v>
      </c>
      <c r="M171">
        <f t="shared" si="7"/>
        <v>0</v>
      </c>
      <c r="N171">
        <f t="shared" si="8"/>
        <v>0</v>
      </c>
    </row>
    <row r="172" spans="1:14">
      <c r="A172">
        <v>4123</v>
      </c>
      <c r="B172" t="s">
        <v>837</v>
      </c>
      <c r="C172" t="s">
        <v>756</v>
      </c>
      <c r="E172">
        <v>918777</v>
      </c>
      <c r="G172" s="2">
        <v>0.22083333333333333</v>
      </c>
      <c r="H172" s="2">
        <v>0.24097222222222223</v>
      </c>
      <c r="J172">
        <v>0.48311284513804797</v>
      </c>
      <c r="K172" t="s">
        <v>759</v>
      </c>
      <c r="L172" t="str">
        <f t="shared" si="6"/>
        <v>33</v>
      </c>
      <c r="M172">
        <f t="shared" si="7"/>
        <v>0</v>
      </c>
      <c r="N172">
        <f t="shared" si="8"/>
        <v>0</v>
      </c>
    </row>
    <row r="173" spans="1:14">
      <c r="A173">
        <v>4123</v>
      </c>
      <c r="B173" t="s">
        <v>837</v>
      </c>
      <c r="C173" t="s">
        <v>756</v>
      </c>
      <c r="E173">
        <v>918777</v>
      </c>
      <c r="G173" s="2">
        <v>0.24097222222222223</v>
      </c>
      <c r="H173" s="2">
        <v>0.24374999999999999</v>
      </c>
      <c r="J173">
        <v>6.6636254501799802E-2</v>
      </c>
      <c r="K173" t="s">
        <v>798</v>
      </c>
      <c r="L173" t="str">
        <f t="shared" si="6"/>
        <v>33</v>
      </c>
      <c r="M173">
        <f t="shared" si="7"/>
        <v>0</v>
      </c>
      <c r="N173">
        <f t="shared" si="8"/>
        <v>0</v>
      </c>
    </row>
    <row r="174" spans="1:14">
      <c r="A174">
        <v>4123</v>
      </c>
      <c r="B174" t="s">
        <v>837</v>
      </c>
      <c r="C174" t="s">
        <v>756</v>
      </c>
      <c r="E174">
        <v>918777</v>
      </c>
      <c r="G174" s="2">
        <v>0.24374999999999999</v>
      </c>
      <c r="H174" s="2">
        <v>0.25138888888888888</v>
      </c>
      <c r="J174">
        <v>0.18324969987994899</v>
      </c>
      <c r="K174" t="s">
        <v>814</v>
      </c>
      <c r="L174" t="str">
        <f t="shared" si="6"/>
        <v>33</v>
      </c>
      <c r="M174">
        <f t="shared" si="7"/>
        <v>0</v>
      </c>
      <c r="N174">
        <f t="shared" si="8"/>
        <v>0</v>
      </c>
    </row>
    <row r="175" spans="1:14">
      <c r="A175">
        <v>4123</v>
      </c>
      <c r="B175" t="s">
        <v>837</v>
      </c>
      <c r="C175" t="s">
        <v>756</v>
      </c>
      <c r="E175">
        <v>918777</v>
      </c>
      <c r="G175" s="2">
        <v>0.25138888888888888</v>
      </c>
      <c r="H175" s="2">
        <v>0.25555555555555559</v>
      </c>
      <c r="J175">
        <v>9.9954381752699606E-2</v>
      </c>
      <c r="K175" t="s">
        <v>813</v>
      </c>
      <c r="L175" t="str">
        <f t="shared" si="6"/>
        <v>33</v>
      </c>
      <c r="M175">
        <f t="shared" si="7"/>
        <v>0</v>
      </c>
      <c r="N175">
        <f t="shared" si="8"/>
        <v>0</v>
      </c>
    </row>
    <row r="176" spans="1:14">
      <c r="A176">
        <v>4123</v>
      </c>
      <c r="B176" t="s">
        <v>837</v>
      </c>
      <c r="C176" t="s">
        <v>756</v>
      </c>
      <c r="E176">
        <v>918777</v>
      </c>
      <c r="G176" s="2">
        <v>0.25555555555555559</v>
      </c>
      <c r="H176" s="2">
        <v>0.25763888888888892</v>
      </c>
      <c r="J176">
        <v>4.9977190876349803E-2</v>
      </c>
      <c r="K176" t="s">
        <v>798</v>
      </c>
      <c r="L176" t="str">
        <f t="shared" si="6"/>
        <v>33</v>
      </c>
      <c r="M176">
        <f t="shared" si="7"/>
        <v>0</v>
      </c>
      <c r="N176">
        <f t="shared" si="8"/>
        <v>0</v>
      </c>
    </row>
    <row r="177" spans="1:14">
      <c r="A177">
        <v>4123</v>
      </c>
      <c r="B177" t="s">
        <v>837</v>
      </c>
      <c r="C177" t="s">
        <v>756</v>
      </c>
      <c r="E177">
        <v>918777</v>
      </c>
      <c r="G177" s="2">
        <v>0.25763888888888892</v>
      </c>
      <c r="H177" s="2">
        <v>0.26250000000000001</v>
      </c>
      <c r="J177">
        <v>0.11661344537814899</v>
      </c>
      <c r="K177" t="s">
        <v>814</v>
      </c>
      <c r="L177" t="str">
        <f t="shared" si="6"/>
        <v>33</v>
      </c>
      <c r="M177">
        <f t="shared" si="7"/>
        <v>0</v>
      </c>
      <c r="N177">
        <f t="shared" si="8"/>
        <v>0</v>
      </c>
    </row>
    <row r="178" spans="1:14">
      <c r="A178">
        <v>4123</v>
      </c>
      <c r="B178" t="s">
        <v>837</v>
      </c>
      <c r="C178" t="s">
        <v>756</v>
      </c>
      <c r="E178">
        <v>918777</v>
      </c>
      <c r="G178" s="2">
        <v>0.26250000000000001</v>
      </c>
      <c r="H178" s="2">
        <v>0.2638888888888889</v>
      </c>
      <c r="J178">
        <v>3.3318127250899797E-2</v>
      </c>
      <c r="K178" t="s">
        <v>798</v>
      </c>
      <c r="L178" t="str">
        <f t="shared" si="6"/>
        <v>33</v>
      </c>
      <c r="M178">
        <f t="shared" si="7"/>
        <v>0</v>
      </c>
      <c r="N178">
        <f t="shared" si="8"/>
        <v>0</v>
      </c>
    </row>
    <row r="179" spans="1:14">
      <c r="A179">
        <v>4123</v>
      </c>
      <c r="B179" t="s">
        <v>837</v>
      </c>
      <c r="C179" t="s">
        <v>756</v>
      </c>
      <c r="E179">
        <v>918777</v>
      </c>
      <c r="G179" s="2">
        <v>0.2638888888888889</v>
      </c>
      <c r="H179" s="2">
        <v>0.26666666666666666</v>
      </c>
      <c r="J179">
        <v>6.6636254501799802E-2</v>
      </c>
      <c r="K179" t="s">
        <v>814</v>
      </c>
      <c r="L179" t="str">
        <f t="shared" si="6"/>
        <v>33</v>
      </c>
      <c r="M179">
        <f t="shared" si="7"/>
        <v>0</v>
      </c>
      <c r="N179">
        <f t="shared" si="8"/>
        <v>0</v>
      </c>
    </row>
    <row r="180" spans="1:14">
      <c r="A180">
        <v>4123</v>
      </c>
      <c r="B180" t="s">
        <v>837</v>
      </c>
      <c r="C180" t="s">
        <v>756</v>
      </c>
      <c r="E180">
        <v>918777</v>
      </c>
      <c r="G180" s="2">
        <v>0.26666666666666666</v>
      </c>
      <c r="H180" s="2">
        <v>0.26805555555555555</v>
      </c>
      <c r="J180">
        <v>3.3318127250899797E-2</v>
      </c>
      <c r="K180" t="s">
        <v>798</v>
      </c>
      <c r="L180" t="str">
        <f t="shared" si="6"/>
        <v>33</v>
      </c>
      <c r="M180">
        <f t="shared" si="7"/>
        <v>0</v>
      </c>
      <c r="N180">
        <f t="shared" si="8"/>
        <v>0</v>
      </c>
    </row>
    <row r="181" spans="1:14">
      <c r="A181">
        <v>4123</v>
      </c>
      <c r="B181" t="s">
        <v>837</v>
      </c>
      <c r="C181" t="s">
        <v>756</v>
      </c>
      <c r="E181">
        <v>918777</v>
      </c>
      <c r="G181" s="2">
        <v>0.26805555555555555</v>
      </c>
      <c r="H181" s="2">
        <v>0.27500000000000002</v>
      </c>
      <c r="J181">
        <v>0.16659063625449899</v>
      </c>
      <c r="K181" t="s">
        <v>814</v>
      </c>
      <c r="L181" t="str">
        <f t="shared" si="6"/>
        <v>33</v>
      </c>
      <c r="M181">
        <f t="shared" si="7"/>
        <v>0</v>
      </c>
      <c r="N181">
        <f t="shared" si="8"/>
        <v>0</v>
      </c>
    </row>
    <row r="182" spans="1:14">
      <c r="A182">
        <v>4123</v>
      </c>
      <c r="B182" t="s">
        <v>837</v>
      </c>
      <c r="C182" t="s">
        <v>756</v>
      </c>
      <c r="E182">
        <v>918777</v>
      </c>
      <c r="G182" s="2">
        <v>0.27500000000000002</v>
      </c>
      <c r="H182" s="2">
        <v>0.27777777777777779</v>
      </c>
      <c r="J182">
        <v>6.6636254501799802E-2</v>
      </c>
      <c r="K182" t="s">
        <v>798</v>
      </c>
      <c r="L182" t="str">
        <f t="shared" si="6"/>
        <v>33</v>
      </c>
      <c r="M182">
        <f t="shared" si="7"/>
        <v>0</v>
      </c>
      <c r="N182">
        <f t="shared" si="8"/>
        <v>0</v>
      </c>
    </row>
    <row r="183" spans="1:14">
      <c r="A183">
        <v>4123</v>
      </c>
      <c r="B183" t="s">
        <v>837</v>
      </c>
      <c r="C183" t="s">
        <v>756</v>
      </c>
      <c r="E183">
        <v>918777</v>
      </c>
      <c r="G183" s="2">
        <v>0.27777777777777779</v>
      </c>
      <c r="H183" s="2">
        <v>0.28888888888888892</v>
      </c>
      <c r="J183">
        <v>0.26654501800719899</v>
      </c>
      <c r="K183" t="s">
        <v>814</v>
      </c>
      <c r="L183" t="str">
        <f t="shared" si="6"/>
        <v>33</v>
      </c>
      <c r="M183">
        <f t="shared" si="7"/>
        <v>0</v>
      </c>
      <c r="N183">
        <f t="shared" si="8"/>
        <v>0</v>
      </c>
    </row>
    <row r="184" spans="1:14">
      <c r="A184">
        <v>4123</v>
      </c>
      <c r="B184" t="s">
        <v>837</v>
      </c>
      <c r="C184" t="s">
        <v>756</v>
      </c>
      <c r="E184">
        <v>918777</v>
      </c>
      <c r="G184" s="2">
        <v>0.28888888888888892</v>
      </c>
      <c r="H184" s="2">
        <v>0.29930555555555555</v>
      </c>
      <c r="J184">
        <v>0.24988595438174899</v>
      </c>
      <c r="K184" t="s">
        <v>798</v>
      </c>
      <c r="L184" t="str">
        <f t="shared" si="6"/>
        <v>33</v>
      </c>
      <c r="M184">
        <f t="shared" si="7"/>
        <v>0</v>
      </c>
      <c r="N184">
        <f t="shared" si="8"/>
        <v>0</v>
      </c>
    </row>
    <row r="185" spans="1:14">
      <c r="A185">
        <v>4123</v>
      </c>
      <c r="B185" t="s">
        <v>837</v>
      </c>
      <c r="C185" t="s">
        <v>756</v>
      </c>
      <c r="E185">
        <v>918777</v>
      </c>
      <c r="G185" s="2">
        <v>0.29930555555555555</v>
      </c>
      <c r="H185" s="2">
        <v>0.31319444444444444</v>
      </c>
      <c r="J185">
        <v>0.33318127250899798</v>
      </c>
      <c r="K185" t="s">
        <v>806</v>
      </c>
      <c r="L185" t="str">
        <f t="shared" si="6"/>
        <v>33</v>
      </c>
      <c r="M185">
        <f t="shared" si="7"/>
        <v>0</v>
      </c>
      <c r="N185">
        <f t="shared" si="8"/>
        <v>0</v>
      </c>
    </row>
    <row r="186" spans="1:14">
      <c r="A186">
        <v>4123</v>
      </c>
      <c r="B186" t="s">
        <v>837</v>
      </c>
      <c r="C186" t="s">
        <v>756</v>
      </c>
      <c r="E186">
        <v>918777</v>
      </c>
      <c r="G186" s="2">
        <v>0.31319444444444444</v>
      </c>
      <c r="H186" s="2">
        <v>0.31944444444444448</v>
      </c>
      <c r="J186">
        <v>0.14993157262904899</v>
      </c>
      <c r="K186" t="s">
        <v>798</v>
      </c>
      <c r="L186" t="str">
        <f t="shared" si="6"/>
        <v>33</v>
      </c>
      <c r="M186">
        <f t="shared" si="7"/>
        <v>0</v>
      </c>
      <c r="N186">
        <f t="shared" si="8"/>
        <v>0</v>
      </c>
    </row>
    <row r="187" spans="1:14">
      <c r="A187">
        <v>4123</v>
      </c>
      <c r="B187" t="s">
        <v>837</v>
      </c>
      <c r="C187" t="s">
        <v>756</v>
      </c>
      <c r="E187">
        <v>918777</v>
      </c>
      <c r="G187" s="2">
        <v>0.31944444444444448</v>
      </c>
      <c r="H187" s="2">
        <v>0.33055555555555555</v>
      </c>
      <c r="J187">
        <v>0.26654501800719899</v>
      </c>
      <c r="K187" t="s">
        <v>806</v>
      </c>
      <c r="L187" t="str">
        <f t="shared" si="6"/>
        <v>33</v>
      </c>
      <c r="M187">
        <f t="shared" si="7"/>
        <v>0</v>
      </c>
      <c r="N187">
        <f t="shared" si="8"/>
        <v>0</v>
      </c>
    </row>
    <row r="188" spans="1:14">
      <c r="A188">
        <v>4123</v>
      </c>
      <c r="B188" t="s">
        <v>837</v>
      </c>
      <c r="C188" t="s">
        <v>756</v>
      </c>
      <c r="E188">
        <v>918777</v>
      </c>
      <c r="G188" s="2">
        <v>0.33055555555555555</v>
      </c>
      <c r="H188" s="2">
        <v>0.33333333333333331</v>
      </c>
      <c r="J188">
        <v>6.6636254501799802E-2</v>
      </c>
      <c r="K188" t="s">
        <v>798</v>
      </c>
      <c r="L188" t="str">
        <f t="shared" si="6"/>
        <v>33</v>
      </c>
      <c r="M188">
        <f t="shared" si="7"/>
        <v>0</v>
      </c>
      <c r="N188">
        <f t="shared" si="8"/>
        <v>0</v>
      </c>
    </row>
    <row r="189" spans="1:14">
      <c r="A189">
        <v>4123</v>
      </c>
      <c r="B189" t="s">
        <v>837</v>
      </c>
      <c r="C189" t="s">
        <v>756</v>
      </c>
      <c r="E189">
        <v>918777</v>
      </c>
      <c r="G189" s="2">
        <v>0.33333333333333331</v>
      </c>
      <c r="H189" s="2">
        <v>0.35069444444444442</v>
      </c>
      <c r="J189">
        <v>0.41647659063624798</v>
      </c>
      <c r="K189" t="s">
        <v>806</v>
      </c>
      <c r="L189" t="str">
        <f t="shared" si="6"/>
        <v>33</v>
      </c>
      <c r="M189">
        <f t="shared" si="7"/>
        <v>0</v>
      </c>
      <c r="N189">
        <f t="shared" si="8"/>
        <v>0</v>
      </c>
    </row>
    <row r="190" spans="1:14">
      <c r="A190">
        <v>4123</v>
      </c>
      <c r="B190" t="s">
        <v>837</v>
      </c>
      <c r="C190" t="s">
        <v>756</v>
      </c>
      <c r="E190">
        <v>918777</v>
      </c>
      <c r="G190" s="2">
        <v>0.35069444444444442</v>
      </c>
      <c r="H190" s="2">
        <v>0.39652777777777781</v>
      </c>
      <c r="J190">
        <v>1.0994981992796899</v>
      </c>
      <c r="K190" t="s">
        <v>799</v>
      </c>
      <c r="L190" t="str">
        <f t="shared" si="6"/>
        <v>33</v>
      </c>
      <c r="M190">
        <f t="shared" si="7"/>
        <v>0</v>
      </c>
      <c r="N190">
        <f t="shared" si="8"/>
        <v>0</v>
      </c>
    </row>
    <row r="191" spans="1:14">
      <c r="A191">
        <v>4123</v>
      </c>
      <c r="B191" t="s">
        <v>837</v>
      </c>
      <c r="C191" t="s">
        <v>756</v>
      </c>
      <c r="E191">
        <v>918777</v>
      </c>
      <c r="G191" s="2">
        <v>0.39652777777777781</v>
      </c>
      <c r="H191" s="2">
        <v>0.46875</v>
      </c>
      <c r="J191">
        <v>1.7325426170467899</v>
      </c>
      <c r="K191" t="s">
        <v>759</v>
      </c>
      <c r="L191" t="str">
        <f t="shared" si="6"/>
        <v>33</v>
      </c>
      <c r="M191">
        <f t="shared" si="7"/>
        <v>0</v>
      </c>
      <c r="N191">
        <f t="shared" si="8"/>
        <v>0</v>
      </c>
    </row>
    <row r="192" spans="1:14">
      <c r="A192">
        <v>7042</v>
      </c>
      <c r="B192" t="s">
        <v>838</v>
      </c>
      <c r="C192" t="s">
        <v>754</v>
      </c>
      <c r="D192" t="s">
        <v>839</v>
      </c>
      <c r="E192">
        <v>21996</v>
      </c>
      <c r="G192" s="2">
        <v>0.16875000000000001</v>
      </c>
      <c r="H192" s="2">
        <v>0.1986111111111111</v>
      </c>
      <c r="J192">
        <v>0.68024682938500902</v>
      </c>
      <c r="K192" t="s">
        <v>840</v>
      </c>
      <c r="L192" t="str">
        <f t="shared" si="6"/>
        <v>33</v>
      </c>
      <c r="M192">
        <f t="shared" si="7"/>
        <v>0</v>
      </c>
      <c r="N192">
        <f t="shared" si="8"/>
        <v>0</v>
      </c>
    </row>
    <row r="193" spans="1:14">
      <c r="A193">
        <v>7042</v>
      </c>
      <c r="B193" t="s">
        <v>838</v>
      </c>
      <c r="C193" t="s">
        <v>754</v>
      </c>
      <c r="D193" t="s">
        <v>839</v>
      </c>
      <c r="E193">
        <v>21996</v>
      </c>
      <c r="G193" s="2">
        <v>0.1986111111111111</v>
      </c>
      <c r="H193" s="2">
        <v>0.32222222222222224</v>
      </c>
      <c r="J193">
        <v>2.8159054797798002</v>
      </c>
      <c r="K193" t="s">
        <v>760</v>
      </c>
      <c r="L193" t="str">
        <f t="shared" si="6"/>
        <v>33</v>
      </c>
      <c r="M193">
        <f t="shared" si="7"/>
        <v>0</v>
      </c>
      <c r="N193">
        <f t="shared" si="8"/>
        <v>0</v>
      </c>
    </row>
    <row r="194" spans="1:14">
      <c r="A194">
        <v>7042</v>
      </c>
      <c r="B194" t="s">
        <v>838</v>
      </c>
      <c r="C194" t="s">
        <v>754</v>
      </c>
      <c r="D194" t="s">
        <v>839</v>
      </c>
      <c r="E194">
        <v>21996</v>
      </c>
      <c r="G194" s="2">
        <v>0.32222222222222224</v>
      </c>
      <c r="H194" s="2">
        <v>0.58333333333333337</v>
      </c>
      <c r="J194">
        <v>5.94820483369217</v>
      </c>
      <c r="K194" t="s">
        <v>831</v>
      </c>
      <c r="L194" t="str">
        <f t="shared" ref="L194:L257" si="9">RIGHT(LEFT(K194,4),2)</f>
        <v>33</v>
      </c>
      <c r="M194">
        <f t="shared" ref="M194:M257" si="10">IF(I194=0,0,I194-H194)+IF(F194=0,0,G194-F194)</f>
        <v>0</v>
      </c>
      <c r="N194">
        <f t="shared" ref="N194:N257" si="11">(M194-INT(M194))*24</f>
        <v>0</v>
      </c>
    </row>
    <row r="195" spans="1:14">
      <c r="A195">
        <v>8001</v>
      </c>
      <c r="B195" t="s">
        <v>844</v>
      </c>
      <c r="C195" t="s">
        <v>754</v>
      </c>
      <c r="D195" t="s">
        <v>775</v>
      </c>
      <c r="E195">
        <v>8001</v>
      </c>
      <c r="G195" s="2">
        <v>0.29166666666666669</v>
      </c>
      <c r="H195" s="2">
        <v>0.66666666666666663</v>
      </c>
      <c r="J195">
        <v>8.4950885292046507</v>
      </c>
      <c r="K195" t="s">
        <v>845</v>
      </c>
      <c r="L195" t="str">
        <f t="shared" si="9"/>
        <v>65</v>
      </c>
      <c r="M195">
        <f t="shared" si="10"/>
        <v>0</v>
      </c>
      <c r="N195">
        <f t="shared" si="11"/>
        <v>0</v>
      </c>
    </row>
    <row r="196" spans="1:14">
      <c r="A196">
        <v>7744</v>
      </c>
      <c r="B196" t="s">
        <v>846</v>
      </c>
      <c r="C196" t="s">
        <v>754</v>
      </c>
      <c r="D196" t="s">
        <v>757</v>
      </c>
      <c r="E196">
        <v>377882</v>
      </c>
      <c r="G196" s="2">
        <v>0.21249999999999999</v>
      </c>
      <c r="H196" s="2">
        <v>0.21249999999999999</v>
      </c>
      <c r="J196">
        <v>0</v>
      </c>
      <c r="K196" t="s">
        <v>842</v>
      </c>
      <c r="L196" t="str">
        <f t="shared" si="9"/>
        <v>33</v>
      </c>
      <c r="M196">
        <f t="shared" si="10"/>
        <v>0</v>
      </c>
      <c r="N196">
        <f t="shared" si="11"/>
        <v>0</v>
      </c>
    </row>
    <row r="197" spans="1:14">
      <c r="A197">
        <v>7744</v>
      </c>
      <c r="B197" t="s">
        <v>846</v>
      </c>
      <c r="C197" t="s">
        <v>754</v>
      </c>
      <c r="D197" t="s">
        <v>757</v>
      </c>
      <c r="E197">
        <v>377882</v>
      </c>
      <c r="G197" s="2">
        <v>0.21249999999999999</v>
      </c>
      <c r="H197" s="2">
        <v>0.41597222222222219</v>
      </c>
      <c r="J197">
        <v>4.5900719921136801</v>
      </c>
      <c r="K197" t="s">
        <v>847</v>
      </c>
      <c r="L197" t="str">
        <f t="shared" si="9"/>
        <v>33</v>
      </c>
      <c r="M197">
        <f t="shared" si="10"/>
        <v>0</v>
      </c>
      <c r="N197">
        <f t="shared" si="11"/>
        <v>0</v>
      </c>
    </row>
    <row r="198" spans="1:14">
      <c r="A198">
        <v>7744</v>
      </c>
      <c r="B198" t="s">
        <v>846</v>
      </c>
      <c r="C198" t="s">
        <v>754</v>
      </c>
      <c r="D198" t="s">
        <v>757</v>
      </c>
      <c r="E198">
        <v>377882</v>
      </c>
      <c r="G198" s="2">
        <v>0.41597222222222219</v>
      </c>
      <c r="H198" s="2">
        <v>0.48749999999999999</v>
      </c>
      <c r="J198">
        <v>1.61357479586249</v>
      </c>
      <c r="K198" t="s">
        <v>759</v>
      </c>
      <c r="L198" t="str">
        <f t="shared" si="9"/>
        <v>33</v>
      </c>
      <c r="M198">
        <f t="shared" si="10"/>
        <v>0</v>
      </c>
      <c r="N198">
        <f t="shared" si="11"/>
        <v>0</v>
      </c>
    </row>
    <row r="199" spans="1:14">
      <c r="A199">
        <v>7744</v>
      </c>
      <c r="B199" t="s">
        <v>846</v>
      </c>
      <c r="C199" t="s">
        <v>754</v>
      </c>
      <c r="D199" t="s">
        <v>757</v>
      </c>
      <c r="E199">
        <v>377882</v>
      </c>
      <c r="G199" s="2">
        <v>0.48749999999999999</v>
      </c>
      <c r="H199" s="2">
        <v>0.5625</v>
      </c>
      <c r="J199">
        <v>1.69190366944804</v>
      </c>
      <c r="K199" t="s">
        <v>760</v>
      </c>
      <c r="L199" t="str">
        <f t="shared" si="9"/>
        <v>33</v>
      </c>
      <c r="M199">
        <f t="shared" si="10"/>
        <v>0</v>
      </c>
      <c r="N199">
        <f t="shared" si="11"/>
        <v>0</v>
      </c>
    </row>
    <row r="200" spans="1:14">
      <c r="A200">
        <v>7550</v>
      </c>
      <c r="B200" t="s">
        <v>1079</v>
      </c>
      <c r="C200" t="s">
        <v>755</v>
      </c>
      <c r="D200" t="s">
        <v>832</v>
      </c>
      <c r="E200">
        <v>112959</v>
      </c>
      <c r="G200" s="2">
        <v>0.55069444444444449</v>
      </c>
      <c r="H200" s="2">
        <v>0.7416666666666667</v>
      </c>
      <c r="J200">
        <v>4.5807989792134096</v>
      </c>
      <c r="K200" t="s">
        <v>790</v>
      </c>
      <c r="L200" t="str">
        <f t="shared" si="9"/>
        <v>46</v>
      </c>
      <c r="M200">
        <f t="shared" si="10"/>
        <v>0</v>
      </c>
      <c r="N200">
        <f t="shared" si="11"/>
        <v>0</v>
      </c>
    </row>
    <row r="201" spans="1:14">
      <c r="A201">
        <v>7550</v>
      </c>
      <c r="B201" t="s">
        <v>1079</v>
      </c>
      <c r="C201" t="s">
        <v>755</v>
      </c>
      <c r="D201" t="s">
        <v>832</v>
      </c>
      <c r="E201">
        <v>112959</v>
      </c>
      <c r="G201" s="2">
        <v>0.7416666666666667</v>
      </c>
      <c r="H201" s="2">
        <v>0.90625</v>
      </c>
      <c r="J201">
        <v>3.9478158475402898</v>
      </c>
      <c r="K201" t="s">
        <v>780</v>
      </c>
      <c r="L201" t="str">
        <f t="shared" si="9"/>
        <v>46</v>
      </c>
      <c r="M201">
        <f t="shared" si="10"/>
        <v>0</v>
      </c>
      <c r="N201">
        <f t="shared" si="11"/>
        <v>0</v>
      </c>
    </row>
    <row r="202" spans="1:14">
      <c r="A202">
        <v>7550</v>
      </c>
      <c r="B202" t="s">
        <v>1079</v>
      </c>
      <c r="C202" t="s">
        <v>755</v>
      </c>
      <c r="D202" t="s">
        <v>832</v>
      </c>
      <c r="E202">
        <v>112959</v>
      </c>
      <c r="G202" s="2">
        <v>0.90625</v>
      </c>
      <c r="H202" s="2">
        <v>0.93819444444444444</v>
      </c>
      <c r="J202">
        <v>0.76624273834115197</v>
      </c>
      <c r="K202" t="s">
        <v>759</v>
      </c>
      <c r="L202" t="str">
        <f t="shared" si="9"/>
        <v>33</v>
      </c>
      <c r="M202">
        <f t="shared" si="10"/>
        <v>0</v>
      </c>
      <c r="N202">
        <f t="shared" si="11"/>
        <v>0</v>
      </c>
    </row>
    <row r="203" spans="1:14">
      <c r="A203">
        <v>7252</v>
      </c>
      <c r="B203" t="s">
        <v>848</v>
      </c>
      <c r="C203" t="s">
        <v>754</v>
      </c>
      <c r="D203" t="s">
        <v>818</v>
      </c>
      <c r="E203">
        <v>295416</v>
      </c>
      <c r="G203" s="2">
        <v>0.51388888888888895</v>
      </c>
      <c r="H203" s="2">
        <v>0.57847222222222217</v>
      </c>
      <c r="J203">
        <v>1.4447053593113</v>
      </c>
      <c r="K203" t="s">
        <v>801</v>
      </c>
      <c r="L203" t="str">
        <f t="shared" si="9"/>
        <v>33</v>
      </c>
      <c r="M203">
        <f t="shared" si="10"/>
        <v>0</v>
      </c>
      <c r="N203">
        <f t="shared" si="11"/>
        <v>0</v>
      </c>
    </row>
    <row r="204" spans="1:14">
      <c r="A204">
        <v>7252</v>
      </c>
      <c r="B204" t="s">
        <v>848</v>
      </c>
      <c r="C204" t="s">
        <v>754</v>
      </c>
      <c r="D204" t="s">
        <v>818</v>
      </c>
      <c r="E204">
        <v>295416</v>
      </c>
      <c r="G204" s="2">
        <v>0.57847222222222217</v>
      </c>
      <c r="H204" s="2">
        <v>0.75277777777777777</v>
      </c>
      <c r="J204">
        <v>3.8991510235176001</v>
      </c>
      <c r="K204" t="s">
        <v>853</v>
      </c>
      <c r="L204" t="str">
        <f t="shared" si="9"/>
        <v>33</v>
      </c>
      <c r="M204">
        <f t="shared" si="10"/>
        <v>0</v>
      </c>
      <c r="N204">
        <f t="shared" si="11"/>
        <v>0</v>
      </c>
    </row>
    <row r="205" spans="1:14">
      <c r="A205">
        <v>7252</v>
      </c>
      <c r="B205" t="s">
        <v>848</v>
      </c>
      <c r="C205" t="s">
        <v>754</v>
      </c>
      <c r="D205" t="s">
        <v>818</v>
      </c>
      <c r="E205">
        <v>295416</v>
      </c>
      <c r="G205" s="2">
        <v>0.75277777777777777</v>
      </c>
      <c r="H205" s="2">
        <v>0.79027777777777775</v>
      </c>
      <c r="J205">
        <v>0.83886117637430502</v>
      </c>
      <c r="K205" t="s">
        <v>763</v>
      </c>
      <c r="L205" t="str">
        <f t="shared" si="9"/>
        <v>33</v>
      </c>
      <c r="M205">
        <f t="shared" si="10"/>
        <v>0</v>
      </c>
      <c r="N205">
        <f t="shared" si="11"/>
        <v>0</v>
      </c>
    </row>
    <row r="206" spans="1:14">
      <c r="A206">
        <v>7252</v>
      </c>
      <c r="B206" t="s">
        <v>848</v>
      </c>
      <c r="C206" t="s">
        <v>754</v>
      </c>
      <c r="D206" t="s">
        <v>818</v>
      </c>
      <c r="E206">
        <v>295416</v>
      </c>
      <c r="G206" s="2">
        <v>0.79027777777777775</v>
      </c>
      <c r="H206" s="2">
        <v>0.79305555555555562</v>
      </c>
      <c r="J206">
        <v>6.2137864916615201E-2</v>
      </c>
      <c r="K206" t="s">
        <v>759</v>
      </c>
      <c r="L206" t="str">
        <f t="shared" si="9"/>
        <v>33</v>
      </c>
      <c r="M206">
        <f t="shared" si="10"/>
        <v>0</v>
      </c>
      <c r="N206">
        <f t="shared" si="11"/>
        <v>0</v>
      </c>
    </row>
    <row r="207" spans="1:14">
      <c r="A207">
        <v>7252</v>
      </c>
      <c r="B207" t="s">
        <v>848</v>
      </c>
      <c r="C207" t="s">
        <v>754</v>
      </c>
      <c r="D207" t="s">
        <v>818</v>
      </c>
      <c r="E207">
        <v>295416</v>
      </c>
      <c r="G207" s="2">
        <v>0.79305555555555562</v>
      </c>
      <c r="H207" s="2">
        <v>0.8125</v>
      </c>
      <c r="J207">
        <v>0.43496505441630601</v>
      </c>
      <c r="K207" t="s">
        <v>853</v>
      </c>
      <c r="L207" t="str">
        <f t="shared" si="9"/>
        <v>33</v>
      </c>
      <c r="M207">
        <f t="shared" si="10"/>
        <v>0</v>
      </c>
      <c r="N207">
        <f t="shared" si="11"/>
        <v>0</v>
      </c>
    </row>
    <row r="208" spans="1:14">
      <c r="A208">
        <v>7609</v>
      </c>
      <c r="B208" t="s">
        <v>1080</v>
      </c>
      <c r="C208" t="s">
        <v>754</v>
      </c>
      <c r="D208" t="s">
        <v>841</v>
      </c>
      <c r="E208">
        <v>162919</v>
      </c>
      <c r="G208" s="2">
        <v>0.20902777777777778</v>
      </c>
      <c r="H208" s="2">
        <v>0.625</v>
      </c>
      <c r="J208">
        <v>9.4776648135114598</v>
      </c>
      <c r="K208" t="s">
        <v>907</v>
      </c>
      <c r="L208" t="str">
        <f t="shared" si="9"/>
        <v>65</v>
      </c>
      <c r="M208">
        <f t="shared" si="10"/>
        <v>0</v>
      </c>
      <c r="N208">
        <f t="shared" si="11"/>
        <v>0</v>
      </c>
    </row>
    <row r="209" spans="1:14">
      <c r="A209">
        <v>7049</v>
      </c>
      <c r="B209" t="s">
        <v>849</v>
      </c>
      <c r="C209" t="s">
        <v>754</v>
      </c>
      <c r="D209" t="s">
        <v>757</v>
      </c>
      <c r="E209">
        <v>19957</v>
      </c>
      <c r="G209" s="2">
        <v>0.30555555555555552</v>
      </c>
      <c r="H209" s="2">
        <v>0.35972222222222222</v>
      </c>
      <c r="J209">
        <v>1.3032882352941</v>
      </c>
      <c r="K209" t="s">
        <v>773</v>
      </c>
      <c r="L209" t="str">
        <f t="shared" si="9"/>
        <v>33</v>
      </c>
      <c r="M209">
        <f t="shared" si="10"/>
        <v>0</v>
      </c>
      <c r="N209">
        <f t="shared" si="11"/>
        <v>0</v>
      </c>
    </row>
    <row r="210" spans="1:14">
      <c r="A210">
        <v>7049</v>
      </c>
      <c r="B210" t="s">
        <v>849</v>
      </c>
      <c r="C210" t="s">
        <v>754</v>
      </c>
      <c r="D210" t="s">
        <v>757</v>
      </c>
      <c r="E210">
        <v>19957</v>
      </c>
      <c r="G210" s="2">
        <v>0.35972222222222222</v>
      </c>
      <c r="H210" s="2">
        <v>0.3840277777777778</v>
      </c>
      <c r="J210">
        <v>0.584808823529403</v>
      </c>
      <c r="K210" t="s">
        <v>785</v>
      </c>
      <c r="L210" t="str">
        <f t="shared" si="9"/>
        <v>33</v>
      </c>
      <c r="M210">
        <f t="shared" si="10"/>
        <v>0</v>
      </c>
      <c r="N210">
        <f t="shared" si="11"/>
        <v>0</v>
      </c>
    </row>
    <row r="211" spans="1:14">
      <c r="A211">
        <v>7049</v>
      </c>
      <c r="B211" t="s">
        <v>849</v>
      </c>
      <c r="C211" t="s">
        <v>754</v>
      </c>
      <c r="D211" t="s">
        <v>757</v>
      </c>
      <c r="E211">
        <v>19957</v>
      </c>
      <c r="G211" s="2">
        <v>0.3840277777777778</v>
      </c>
      <c r="H211" s="2">
        <v>0.38611111111111113</v>
      </c>
      <c r="J211">
        <v>5.0126470588234599E-2</v>
      </c>
      <c r="K211" t="s">
        <v>798</v>
      </c>
      <c r="L211" t="str">
        <f t="shared" si="9"/>
        <v>33</v>
      </c>
      <c r="M211">
        <f t="shared" si="10"/>
        <v>0</v>
      </c>
      <c r="N211">
        <f t="shared" si="11"/>
        <v>0</v>
      </c>
    </row>
    <row r="212" spans="1:14">
      <c r="A212">
        <v>7049</v>
      </c>
      <c r="B212" t="s">
        <v>849</v>
      </c>
      <c r="C212" t="s">
        <v>754</v>
      </c>
      <c r="D212" t="s">
        <v>757</v>
      </c>
      <c r="E212">
        <v>19957</v>
      </c>
      <c r="G212" s="2">
        <v>0.38611111111111113</v>
      </c>
      <c r="H212" s="2">
        <v>0.39583333333333331</v>
      </c>
      <c r="J212">
        <v>0.23392352941176101</v>
      </c>
      <c r="K212" t="s">
        <v>799</v>
      </c>
      <c r="L212" t="str">
        <f t="shared" si="9"/>
        <v>33</v>
      </c>
      <c r="M212">
        <f t="shared" si="10"/>
        <v>0</v>
      </c>
      <c r="N212">
        <f t="shared" si="11"/>
        <v>0</v>
      </c>
    </row>
    <row r="213" spans="1:14">
      <c r="A213">
        <v>7049</v>
      </c>
      <c r="B213" t="s">
        <v>849</v>
      </c>
      <c r="C213" t="s">
        <v>754</v>
      </c>
      <c r="D213" t="s">
        <v>757</v>
      </c>
      <c r="E213">
        <v>19957</v>
      </c>
      <c r="G213" s="2">
        <v>0.39583333333333331</v>
      </c>
      <c r="H213" s="2">
        <v>0.41388888888888892</v>
      </c>
      <c r="J213">
        <v>0.43442941176469901</v>
      </c>
      <c r="K213" t="s">
        <v>833</v>
      </c>
      <c r="L213" t="str">
        <f t="shared" si="9"/>
        <v>33</v>
      </c>
      <c r="M213">
        <f t="shared" si="10"/>
        <v>0</v>
      </c>
      <c r="N213">
        <f t="shared" si="11"/>
        <v>0</v>
      </c>
    </row>
    <row r="214" spans="1:14">
      <c r="A214">
        <v>7049</v>
      </c>
      <c r="B214" t="s">
        <v>849</v>
      </c>
      <c r="C214" t="s">
        <v>754</v>
      </c>
      <c r="D214" t="s">
        <v>757</v>
      </c>
      <c r="E214">
        <v>19957</v>
      </c>
      <c r="G214" s="2">
        <v>0.41388888888888892</v>
      </c>
      <c r="H214" s="2">
        <v>0.45277777777777778</v>
      </c>
      <c r="J214">
        <v>0.93569411764704602</v>
      </c>
      <c r="K214" t="s">
        <v>1081</v>
      </c>
      <c r="L214" t="str">
        <f t="shared" si="9"/>
        <v>33</v>
      </c>
      <c r="M214">
        <f t="shared" si="10"/>
        <v>0</v>
      </c>
      <c r="N214">
        <f t="shared" si="11"/>
        <v>0</v>
      </c>
    </row>
    <row r="215" spans="1:14">
      <c r="A215">
        <v>7049</v>
      </c>
      <c r="B215" t="s">
        <v>849</v>
      </c>
      <c r="C215" t="s">
        <v>754</v>
      </c>
      <c r="D215" t="s">
        <v>757</v>
      </c>
      <c r="E215">
        <v>19957</v>
      </c>
      <c r="G215" s="2">
        <v>0.45277777777777778</v>
      </c>
      <c r="H215" s="2">
        <v>0.54166666666666663</v>
      </c>
      <c r="J215">
        <v>2.13872941176467</v>
      </c>
      <c r="K215" t="s">
        <v>785</v>
      </c>
      <c r="L215" t="str">
        <f t="shared" si="9"/>
        <v>33</v>
      </c>
      <c r="M215">
        <f t="shared" si="10"/>
        <v>0</v>
      </c>
      <c r="N215">
        <f t="shared" si="11"/>
        <v>0</v>
      </c>
    </row>
    <row r="216" spans="1:14">
      <c r="A216">
        <v>7229</v>
      </c>
      <c r="B216" t="s">
        <v>851</v>
      </c>
      <c r="C216" t="s">
        <v>754</v>
      </c>
      <c r="D216" t="s">
        <v>852</v>
      </c>
      <c r="E216">
        <v>650133</v>
      </c>
      <c r="G216" s="2">
        <v>0.11527777777777777</v>
      </c>
      <c r="H216" s="2">
        <v>0.19236111111111112</v>
      </c>
      <c r="J216">
        <v>1.71698092562995</v>
      </c>
      <c r="K216" t="s">
        <v>799</v>
      </c>
      <c r="L216" t="str">
        <f t="shared" si="9"/>
        <v>33</v>
      </c>
      <c r="M216">
        <f t="shared" si="10"/>
        <v>0</v>
      </c>
      <c r="N216">
        <f t="shared" si="11"/>
        <v>0</v>
      </c>
    </row>
    <row r="217" spans="1:14">
      <c r="A217">
        <v>7229</v>
      </c>
      <c r="B217" t="s">
        <v>851</v>
      </c>
      <c r="C217" t="s">
        <v>754</v>
      </c>
      <c r="D217" t="s">
        <v>852</v>
      </c>
      <c r="E217">
        <v>650133</v>
      </c>
      <c r="G217" s="2">
        <v>0.19236111111111112</v>
      </c>
      <c r="H217" s="2">
        <v>0.19652777777777777</v>
      </c>
      <c r="J217">
        <v>9.2809779763781103E-2</v>
      </c>
      <c r="K217" t="s">
        <v>812</v>
      </c>
      <c r="L217" t="str">
        <f t="shared" si="9"/>
        <v>33</v>
      </c>
      <c r="M217">
        <f t="shared" si="10"/>
        <v>0</v>
      </c>
      <c r="N217">
        <f t="shared" si="11"/>
        <v>0</v>
      </c>
    </row>
    <row r="218" spans="1:14">
      <c r="A218">
        <v>7229</v>
      </c>
      <c r="B218" t="s">
        <v>851</v>
      </c>
      <c r="C218" t="s">
        <v>754</v>
      </c>
      <c r="D218" t="s">
        <v>852</v>
      </c>
      <c r="E218">
        <v>650133</v>
      </c>
      <c r="G218" s="2">
        <v>0.19652777777777777</v>
      </c>
      <c r="H218" s="2">
        <v>0.19791666666666666</v>
      </c>
      <c r="J218">
        <v>3.0936593254593601E-2</v>
      </c>
      <c r="K218" t="s">
        <v>798</v>
      </c>
      <c r="L218" t="str">
        <f t="shared" si="9"/>
        <v>33</v>
      </c>
      <c r="M218">
        <f t="shared" si="10"/>
        <v>0</v>
      </c>
      <c r="N218">
        <f t="shared" si="11"/>
        <v>0</v>
      </c>
    </row>
    <row r="219" spans="1:14">
      <c r="A219">
        <v>7229</v>
      </c>
      <c r="B219" t="s">
        <v>851</v>
      </c>
      <c r="C219" t="s">
        <v>754</v>
      </c>
      <c r="D219" t="s">
        <v>852</v>
      </c>
      <c r="E219">
        <v>650133</v>
      </c>
      <c r="G219" s="2">
        <v>0.19791666666666666</v>
      </c>
      <c r="H219" s="2">
        <v>0.21111111111111111</v>
      </c>
      <c r="J219">
        <v>0.29389763591863999</v>
      </c>
      <c r="K219" t="s">
        <v>812</v>
      </c>
      <c r="L219" t="str">
        <f t="shared" si="9"/>
        <v>33</v>
      </c>
      <c r="M219">
        <f t="shared" si="10"/>
        <v>0</v>
      </c>
      <c r="N219">
        <f t="shared" si="11"/>
        <v>0</v>
      </c>
    </row>
    <row r="220" spans="1:14">
      <c r="A220">
        <v>7229</v>
      </c>
      <c r="B220" t="s">
        <v>851</v>
      </c>
      <c r="C220" t="s">
        <v>754</v>
      </c>
      <c r="D220" t="s">
        <v>852</v>
      </c>
      <c r="E220">
        <v>650133</v>
      </c>
      <c r="G220" s="2">
        <v>0.21111111111111111</v>
      </c>
      <c r="H220" s="2">
        <v>0.3972222222222222</v>
      </c>
      <c r="J220">
        <v>4.1455034961155599</v>
      </c>
      <c r="K220" t="s">
        <v>853</v>
      </c>
      <c r="L220" t="str">
        <f t="shared" si="9"/>
        <v>33</v>
      </c>
      <c r="M220">
        <f t="shared" si="10"/>
        <v>0</v>
      </c>
      <c r="N220">
        <f t="shared" si="11"/>
        <v>0</v>
      </c>
    </row>
    <row r="221" spans="1:14">
      <c r="A221">
        <v>8014</v>
      </c>
      <c r="B221" t="s">
        <v>854</v>
      </c>
      <c r="C221" t="s">
        <v>754</v>
      </c>
      <c r="D221" t="s">
        <v>775</v>
      </c>
      <c r="E221">
        <v>18984</v>
      </c>
      <c r="G221" s="2">
        <v>0.29166666666666669</v>
      </c>
      <c r="H221" s="2">
        <v>0.64583333333333337</v>
      </c>
      <c r="J221">
        <v>8</v>
      </c>
      <c r="K221" t="s">
        <v>855</v>
      </c>
      <c r="L221" t="str">
        <f t="shared" si="9"/>
        <v>65</v>
      </c>
      <c r="M221">
        <f t="shared" si="10"/>
        <v>0</v>
      </c>
      <c r="N221">
        <f t="shared" si="11"/>
        <v>0</v>
      </c>
    </row>
    <row r="222" spans="1:14">
      <c r="A222">
        <v>7606</v>
      </c>
      <c r="B222" t="s">
        <v>856</v>
      </c>
      <c r="C222" t="s">
        <v>754</v>
      </c>
      <c r="D222" t="s">
        <v>832</v>
      </c>
      <c r="E222">
        <v>160932</v>
      </c>
      <c r="G222" s="2">
        <v>0.4291666666666667</v>
      </c>
      <c r="H222" s="2">
        <v>0.53819444444444442</v>
      </c>
      <c r="J222">
        <v>2.6152259508000699</v>
      </c>
      <c r="K222" t="s">
        <v>870</v>
      </c>
      <c r="L222" t="str">
        <f t="shared" si="9"/>
        <v>37</v>
      </c>
      <c r="M222">
        <f t="shared" si="10"/>
        <v>0</v>
      </c>
      <c r="N222">
        <f t="shared" si="11"/>
        <v>0</v>
      </c>
    </row>
    <row r="223" spans="1:14">
      <c r="A223">
        <v>7606</v>
      </c>
      <c r="B223" t="s">
        <v>856</v>
      </c>
      <c r="C223" t="s">
        <v>754</v>
      </c>
      <c r="D223" t="s">
        <v>832</v>
      </c>
      <c r="E223">
        <v>160932</v>
      </c>
      <c r="G223" s="2">
        <v>0.53819444444444442</v>
      </c>
      <c r="H223" s="2">
        <v>0.56388888888888888</v>
      </c>
      <c r="J223">
        <v>0.61632713490192703</v>
      </c>
      <c r="K223" t="s">
        <v>780</v>
      </c>
      <c r="L223" t="str">
        <f t="shared" si="9"/>
        <v>46</v>
      </c>
      <c r="M223">
        <f t="shared" si="10"/>
        <v>0</v>
      </c>
      <c r="N223">
        <f t="shared" si="11"/>
        <v>0</v>
      </c>
    </row>
    <row r="224" spans="1:14">
      <c r="A224">
        <v>7606</v>
      </c>
      <c r="B224" t="s">
        <v>856</v>
      </c>
      <c r="C224" t="s">
        <v>754</v>
      </c>
      <c r="D224" t="s">
        <v>832</v>
      </c>
      <c r="E224">
        <v>160932</v>
      </c>
      <c r="G224" s="2">
        <v>0.56388888888888888</v>
      </c>
      <c r="H224" s="2">
        <v>0.8125</v>
      </c>
      <c r="J224">
        <v>5.9633814674294596</v>
      </c>
      <c r="K224" t="s">
        <v>779</v>
      </c>
      <c r="L224" t="str">
        <f t="shared" si="9"/>
        <v>37</v>
      </c>
      <c r="M224">
        <f t="shared" si="10"/>
        <v>0</v>
      </c>
      <c r="N224">
        <f t="shared" si="11"/>
        <v>0</v>
      </c>
    </row>
    <row r="225" spans="1:14">
      <c r="A225">
        <v>7033</v>
      </c>
      <c r="B225" t="s">
        <v>1184</v>
      </c>
      <c r="C225" t="s">
        <v>755</v>
      </c>
      <c r="D225" t="s">
        <v>757</v>
      </c>
      <c r="E225">
        <v>30249</v>
      </c>
      <c r="G225" s="2">
        <v>0.21388888888888891</v>
      </c>
      <c r="H225" s="2">
        <v>0.27569444444444446</v>
      </c>
      <c r="J225">
        <v>1.3914323284807499</v>
      </c>
      <c r="K225" t="s">
        <v>773</v>
      </c>
      <c r="L225" t="str">
        <f t="shared" si="9"/>
        <v>33</v>
      </c>
      <c r="M225">
        <f t="shared" si="10"/>
        <v>0</v>
      </c>
      <c r="N225">
        <f t="shared" si="11"/>
        <v>0</v>
      </c>
    </row>
    <row r="226" spans="1:14">
      <c r="A226">
        <v>7033</v>
      </c>
      <c r="B226" t="s">
        <v>1184</v>
      </c>
      <c r="C226" t="s">
        <v>755</v>
      </c>
      <c r="D226" t="s">
        <v>757</v>
      </c>
      <c r="E226">
        <v>30249</v>
      </c>
      <c r="G226" s="2">
        <v>0.27569444444444446</v>
      </c>
      <c r="H226" s="2">
        <v>0.27708333333333335</v>
      </c>
      <c r="J226">
        <v>3.1268142213050597E-2</v>
      </c>
      <c r="K226" t="s">
        <v>1070</v>
      </c>
      <c r="L226" t="str">
        <f t="shared" si="9"/>
        <v>33</v>
      </c>
      <c r="M226">
        <f t="shared" si="10"/>
        <v>0</v>
      </c>
      <c r="N226">
        <f t="shared" si="11"/>
        <v>0</v>
      </c>
    </row>
    <row r="227" spans="1:14">
      <c r="A227">
        <v>7033</v>
      </c>
      <c r="B227" t="s">
        <v>1184</v>
      </c>
      <c r="C227" t="s">
        <v>755</v>
      </c>
      <c r="D227" t="s">
        <v>757</v>
      </c>
      <c r="E227">
        <v>30249</v>
      </c>
      <c r="G227" s="2">
        <v>0.27708333333333335</v>
      </c>
      <c r="H227" s="2">
        <v>0.45902777777777781</v>
      </c>
      <c r="J227">
        <v>4.0961266299096399</v>
      </c>
      <c r="K227" t="s">
        <v>759</v>
      </c>
      <c r="L227" t="str">
        <f t="shared" si="9"/>
        <v>33</v>
      </c>
      <c r="M227">
        <f t="shared" si="10"/>
        <v>0</v>
      </c>
      <c r="N227">
        <f t="shared" si="11"/>
        <v>0</v>
      </c>
    </row>
    <row r="228" spans="1:14">
      <c r="A228">
        <v>7033</v>
      </c>
      <c r="B228" t="s">
        <v>1184</v>
      </c>
      <c r="C228" t="s">
        <v>755</v>
      </c>
      <c r="D228" t="s">
        <v>757</v>
      </c>
      <c r="E228">
        <v>30249</v>
      </c>
      <c r="G228" s="2">
        <v>0.45902777777777781</v>
      </c>
      <c r="H228" s="2">
        <v>0.54166666666666663</v>
      </c>
      <c r="J228">
        <v>1.86045446167651</v>
      </c>
      <c r="K228" t="s">
        <v>933</v>
      </c>
      <c r="L228" t="str">
        <f t="shared" si="9"/>
        <v>33</v>
      </c>
      <c r="M228">
        <f t="shared" si="10"/>
        <v>0</v>
      </c>
      <c r="N228">
        <f t="shared" si="11"/>
        <v>0</v>
      </c>
    </row>
    <row r="229" spans="1:14">
      <c r="A229">
        <v>7794</v>
      </c>
      <c r="B229" t="s">
        <v>857</v>
      </c>
      <c r="C229" t="s">
        <v>754</v>
      </c>
      <c r="D229" t="s">
        <v>757</v>
      </c>
      <c r="E229">
        <v>435745</v>
      </c>
      <c r="G229" s="2">
        <v>0.20624999999999999</v>
      </c>
      <c r="H229" s="2">
        <v>0.21249999999999999</v>
      </c>
      <c r="J229">
        <v>0.13975155279503099</v>
      </c>
      <c r="K229" t="s">
        <v>798</v>
      </c>
      <c r="L229" t="str">
        <f t="shared" si="9"/>
        <v>33</v>
      </c>
      <c r="M229">
        <f t="shared" si="10"/>
        <v>0</v>
      </c>
      <c r="N229">
        <f t="shared" si="11"/>
        <v>0</v>
      </c>
    </row>
    <row r="230" spans="1:14">
      <c r="A230">
        <v>7794</v>
      </c>
      <c r="B230" t="s">
        <v>857</v>
      </c>
      <c r="C230" t="s">
        <v>754</v>
      </c>
      <c r="D230" t="s">
        <v>757</v>
      </c>
      <c r="E230">
        <v>435745</v>
      </c>
      <c r="G230" s="2">
        <v>0.21249999999999999</v>
      </c>
      <c r="H230" s="2">
        <v>0.23680555555555557</v>
      </c>
      <c r="J230">
        <v>0.54347826086956397</v>
      </c>
      <c r="K230" t="s">
        <v>806</v>
      </c>
      <c r="L230" t="str">
        <f t="shared" si="9"/>
        <v>33</v>
      </c>
      <c r="M230">
        <f t="shared" si="10"/>
        <v>0</v>
      </c>
      <c r="N230">
        <f t="shared" si="11"/>
        <v>0</v>
      </c>
    </row>
    <row r="231" spans="1:14">
      <c r="A231">
        <v>7794</v>
      </c>
      <c r="B231" t="s">
        <v>857</v>
      </c>
      <c r="C231" t="s">
        <v>754</v>
      </c>
      <c r="D231" t="s">
        <v>757</v>
      </c>
      <c r="E231">
        <v>435745</v>
      </c>
      <c r="G231" s="2">
        <v>0.23680555555555557</v>
      </c>
      <c r="H231" s="2">
        <v>0.3756944444444445</v>
      </c>
      <c r="J231">
        <v>3.1055900621117898</v>
      </c>
      <c r="K231" t="s">
        <v>799</v>
      </c>
      <c r="L231" t="str">
        <f t="shared" si="9"/>
        <v>33</v>
      </c>
      <c r="M231">
        <f t="shared" si="10"/>
        <v>0</v>
      </c>
      <c r="N231">
        <f t="shared" si="11"/>
        <v>0</v>
      </c>
    </row>
    <row r="232" spans="1:14">
      <c r="A232">
        <v>7794</v>
      </c>
      <c r="B232" t="s">
        <v>857</v>
      </c>
      <c r="C232" t="s">
        <v>754</v>
      </c>
      <c r="D232" t="s">
        <v>757</v>
      </c>
      <c r="E232">
        <v>435745</v>
      </c>
      <c r="G232" s="2">
        <v>0.3756944444444445</v>
      </c>
      <c r="H232" s="2">
        <v>0.41597222222222219</v>
      </c>
      <c r="J232">
        <v>0.90062111801242195</v>
      </c>
      <c r="K232" t="s">
        <v>764</v>
      </c>
      <c r="L232" t="str">
        <f t="shared" si="9"/>
        <v>33</v>
      </c>
      <c r="M232">
        <f t="shared" si="10"/>
        <v>0</v>
      </c>
      <c r="N232">
        <f t="shared" si="11"/>
        <v>0</v>
      </c>
    </row>
    <row r="233" spans="1:14">
      <c r="A233">
        <v>7794</v>
      </c>
      <c r="B233" t="s">
        <v>857</v>
      </c>
      <c r="C233" t="s">
        <v>754</v>
      </c>
      <c r="D233" t="s">
        <v>757</v>
      </c>
      <c r="E233">
        <v>435745</v>
      </c>
      <c r="G233" s="2">
        <v>0.41597222222222219</v>
      </c>
      <c r="H233" s="2">
        <v>0.4291666666666667</v>
      </c>
      <c r="J233">
        <v>0.29503105590062101</v>
      </c>
      <c r="K233" t="s">
        <v>759</v>
      </c>
      <c r="L233" t="str">
        <f t="shared" si="9"/>
        <v>33</v>
      </c>
      <c r="M233">
        <f t="shared" si="10"/>
        <v>0</v>
      </c>
      <c r="N233">
        <f t="shared" si="11"/>
        <v>0</v>
      </c>
    </row>
    <row r="234" spans="1:14">
      <c r="A234">
        <v>7794</v>
      </c>
      <c r="B234" t="s">
        <v>857</v>
      </c>
      <c r="C234" t="s">
        <v>754</v>
      </c>
      <c r="D234" t="s">
        <v>757</v>
      </c>
      <c r="E234">
        <v>435745</v>
      </c>
      <c r="G234" s="2">
        <v>0.4291666666666667</v>
      </c>
      <c r="H234" s="2">
        <v>0.54166666666666663</v>
      </c>
      <c r="J234">
        <v>2.5155279503105499</v>
      </c>
      <c r="K234" t="s">
        <v>760</v>
      </c>
      <c r="L234" t="str">
        <f t="shared" si="9"/>
        <v>33</v>
      </c>
      <c r="M234">
        <f t="shared" si="10"/>
        <v>0</v>
      </c>
      <c r="N234">
        <f t="shared" si="11"/>
        <v>0</v>
      </c>
    </row>
    <row r="235" spans="1:14">
      <c r="A235">
        <v>7055</v>
      </c>
      <c r="B235" t="s">
        <v>1082</v>
      </c>
      <c r="C235" t="s">
        <v>754</v>
      </c>
      <c r="D235" t="s">
        <v>830</v>
      </c>
      <c r="E235">
        <v>22045</v>
      </c>
      <c r="G235" s="2">
        <v>0.51041666666666663</v>
      </c>
      <c r="H235" s="2">
        <v>0.62430555555555556</v>
      </c>
      <c r="J235">
        <v>2.7318251417919899</v>
      </c>
      <c r="K235" t="s">
        <v>759</v>
      </c>
      <c r="L235" t="str">
        <f t="shared" si="9"/>
        <v>33</v>
      </c>
      <c r="M235">
        <f t="shared" si="10"/>
        <v>0</v>
      </c>
      <c r="N235">
        <f t="shared" si="11"/>
        <v>0</v>
      </c>
    </row>
    <row r="236" spans="1:14">
      <c r="A236">
        <v>7055</v>
      </c>
      <c r="B236" t="s">
        <v>1082</v>
      </c>
      <c r="C236" t="s">
        <v>754</v>
      </c>
      <c r="D236" t="s">
        <v>830</v>
      </c>
      <c r="E236">
        <v>22045</v>
      </c>
      <c r="G236" s="2">
        <v>0.62430555555555556</v>
      </c>
      <c r="H236" s="2">
        <v>0.75763888888888886</v>
      </c>
      <c r="J236">
        <v>3.1982343123418402</v>
      </c>
      <c r="K236" t="s">
        <v>842</v>
      </c>
      <c r="L236" t="str">
        <f t="shared" si="9"/>
        <v>33</v>
      </c>
      <c r="M236">
        <f t="shared" si="10"/>
        <v>0</v>
      </c>
      <c r="N236">
        <f t="shared" si="11"/>
        <v>0</v>
      </c>
    </row>
    <row r="237" spans="1:14">
      <c r="A237">
        <v>7055</v>
      </c>
      <c r="B237" t="s">
        <v>1082</v>
      </c>
      <c r="C237" t="s">
        <v>754</v>
      </c>
      <c r="D237" t="s">
        <v>830</v>
      </c>
      <c r="E237">
        <v>22045</v>
      </c>
      <c r="G237" s="2">
        <v>0.75763888888888886</v>
      </c>
      <c r="H237" s="2">
        <v>0.77013888888888893</v>
      </c>
      <c r="J237">
        <v>0.299834466782048</v>
      </c>
      <c r="K237" t="s">
        <v>843</v>
      </c>
      <c r="L237" t="str">
        <f t="shared" si="9"/>
        <v>33</v>
      </c>
      <c r="M237">
        <f t="shared" si="10"/>
        <v>0</v>
      </c>
      <c r="N237">
        <f t="shared" si="11"/>
        <v>0</v>
      </c>
    </row>
    <row r="238" spans="1:14">
      <c r="A238">
        <v>7055</v>
      </c>
      <c r="B238" t="s">
        <v>1082</v>
      </c>
      <c r="C238" t="s">
        <v>754</v>
      </c>
      <c r="D238" t="s">
        <v>830</v>
      </c>
      <c r="E238">
        <v>22045</v>
      </c>
      <c r="G238" s="2">
        <v>0.77013888888888893</v>
      </c>
      <c r="H238" s="2">
        <v>0.89583333333333337</v>
      </c>
      <c r="J238">
        <v>3.0150021381972598</v>
      </c>
      <c r="K238" t="s">
        <v>842</v>
      </c>
      <c r="L238" t="str">
        <f t="shared" si="9"/>
        <v>33</v>
      </c>
      <c r="M238">
        <f t="shared" si="10"/>
        <v>0</v>
      </c>
      <c r="N238">
        <f t="shared" si="11"/>
        <v>0</v>
      </c>
    </row>
    <row r="239" spans="1:14">
      <c r="A239">
        <v>7007</v>
      </c>
      <c r="B239" t="s">
        <v>859</v>
      </c>
      <c r="C239" t="s">
        <v>755</v>
      </c>
      <c r="D239" t="s">
        <v>832</v>
      </c>
      <c r="E239">
        <v>905272</v>
      </c>
      <c r="G239" s="2">
        <v>0.22222222222222221</v>
      </c>
      <c r="H239" s="2">
        <v>0.38541666666666669</v>
      </c>
      <c r="J239">
        <v>3.8943333333333299</v>
      </c>
      <c r="K239" t="s">
        <v>870</v>
      </c>
      <c r="L239" t="str">
        <f t="shared" si="9"/>
        <v>37</v>
      </c>
      <c r="M239">
        <f t="shared" si="10"/>
        <v>0</v>
      </c>
      <c r="N239">
        <f t="shared" si="11"/>
        <v>0</v>
      </c>
    </row>
    <row r="240" spans="1:14">
      <c r="A240">
        <v>7330</v>
      </c>
      <c r="B240" t="s">
        <v>860</v>
      </c>
      <c r="C240" t="s">
        <v>755</v>
      </c>
      <c r="D240" t="s">
        <v>861</v>
      </c>
      <c r="E240">
        <v>275611</v>
      </c>
      <c r="G240" s="2">
        <v>0.20624999999999999</v>
      </c>
      <c r="H240" s="2">
        <v>0.24791666666666667</v>
      </c>
      <c r="J240">
        <v>0.99173553719008201</v>
      </c>
      <c r="K240" t="s">
        <v>778</v>
      </c>
      <c r="L240" t="str">
        <f t="shared" si="9"/>
        <v>37</v>
      </c>
      <c r="M240">
        <f t="shared" si="10"/>
        <v>0</v>
      </c>
      <c r="N240">
        <f t="shared" si="11"/>
        <v>0</v>
      </c>
    </row>
    <row r="241" spans="1:14">
      <c r="A241">
        <v>7330</v>
      </c>
      <c r="B241" t="s">
        <v>860</v>
      </c>
      <c r="C241" t="s">
        <v>755</v>
      </c>
      <c r="D241" t="s">
        <v>861</v>
      </c>
      <c r="E241">
        <v>275611</v>
      </c>
      <c r="G241" s="2">
        <v>0.24791666666666667</v>
      </c>
      <c r="H241" s="2">
        <v>0.45833333333333331</v>
      </c>
      <c r="J241">
        <v>5.00826446280991</v>
      </c>
      <c r="K241" t="s">
        <v>870</v>
      </c>
      <c r="L241" t="str">
        <f t="shared" si="9"/>
        <v>37</v>
      </c>
      <c r="M241">
        <f t="shared" si="10"/>
        <v>0</v>
      </c>
      <c r="N241">
        <f t="shared" si="11"/>
        <v>0</v>
      </c>
    </row>
    <row r="242" spans="1:14">
      <c r="A242">
        <v>7548</v>
      </c>
      <c r="B242" t="s">
        <v>1083</v>
      </c>
      <c r="C242" t="s">
        <v>755</v>
      </c>
      <c r="D242" t="s">
        <v>818</v>
      </c>
      <c r="E242">
        <v>112962</v>
      </c>
      <c r="G242" s="2">
        <v>0.13263888888888889</v>
      </c>
      <c r="H242" s="2">
        <v>0.36944444444444446</v>
      </c>
      <c r="J242">
        <v>5.3393337491906196</v>
      </c>
      <c r="K242" t="s">
        <v>759</v>
      </c>
      <c r="L242" t="str">
        <f t="shared" si="9"/>
        <v>33</v>
      </c>
      <c r="M242">
        <f t="shared" si="10"/>
        <v>0</v>
      </c>
      <c r="N242">
        <f t="shared" si="11"/>
        <v>0</v>
      </c>
    </row>
    <row r="243" spans="1:14">
      <c r="A243">
        <v>7548</v>
      </c>
      <c r="B243" t="s">
        <v>1083</v>
      </c>
      <c r="C243" t="s">
        <v>755</v>
      </c>
      <c r="D243" t="s">
        <v>818</v>
      </c>
      <c r="E243">
        <v>112962</v>
      </c>
      <c r="G243" s="2">
        <v>0.36944444444444446</v>
      </c>
      <c r="H243" s="2">
        <v>0.36944444444444446</v>
      </c>
      <c r="J243">
        <v>0</v>
      </c>
      <c r="K243" t="s">
        <v>773</v>
      </c>
      <c r="L243" t="str">
        <f t="shared" si="9"/>
        <v>33</v>
      </c>
      <c r="M243">
        <f t="shared" si="10"/>
        <v>0</v>
      </c>
      <c r="N243">
        <f t="shared" si="11"/>
        <v>0</v>
      </c>
    </row>
    <row r="244" spans="1:14">
      <c r="A244">
        <v>7548</v>
      </c>
      <c r="B244" t="s">
        <v>1083</v>
      </c>
      <c r="C244" t="s">
        <v>755</v>
      </c>
      <c r="D244" t="s">
        <v>818</v>
      </c>
      <c r="E244">
        <v>112962</v>
      </c>
      <c r="G244" s="2">
        <v>0.36944444444444446</v>
      </c>
      <c r="H244" s="2">
        <v>0.40138888888888885</v>
      </c>
      <c r="J244">
        <v>0.72026203068260597</v>
      </c>
      <c r="K244" t="s">
        <v>760</v>
      </c>
      <c r="L244" t="str">
        <f t="shared" si="9"/>
        <v>33</v>
      </c>
      <c r="M244">
        <f t="shared" si="10"/>
        <v>0</v>
      </c>
      <c r="N244">
        <f t="shared" si="11"/>
        <v>0</v>
      </c>
    </row>
    <row r="245" spans="1:14">
      <c r="A245">
        <v>7548</v>
      </c>
      <c r="B245" t="s">
        <v>1083</v>
      </c>
      <c r="C245" t="s">
        <v>755</v>
      </c>
      <c r="D245" t="s">
        <v>818</v>
      </c>
      <c r="E245">
        <v>112962</v>
      </c>
      <c r="G245" s="2">
        <v>0.40138888888888885</v>
      </c>
      <c r="H245" s="2">
        <v>0.40138888888888885</v>
      </c>
      <c r="J245">
        <v>0</v>
      </c>
      <c r="K245" t="s">
        <v>773</v>
      </c>
      <c r="L245" t="str">
        <f t="shared" si="9"/>
        <v>33</v>
      </c>
      <c r="M245">
        <f t="shared" si="10"/>
        <v>0</v>
      </c>
      <c r="N245">
        <f t="shared" si="11"/>
        <v>0</v>
      </c>
    </row>
    <row r="246" spans="1:14">
      <c r="A246">
        <v>7548</v>
      </c>
      <c r="B246" t="s">
        <v>1083</v>
      </c>
      <c r="C246" t="s">
        <v>755</v>
      </c>
      <c r="D246" t="s">
        <v>818</v>
      </c>
      <c r="E246">
        <v>112962</v>
      </c>
      <c r="G246" s="2">
        <v>0.40138888888888885</v>
      </c>
      <c r="H246" s="2">
        <v>0.40347222222222223</v>
      </c>
      <c r="J246">
        <v>4.6973610696691703E-2</v>
      </c>
      <c r="K246" t="s">
        <v>760</v>
      </c>
      <c r="L246" t="str">
        <f t="shared" si="9"/>
        <v>33</v>
      </c>
      <c r="M246">
        <f t="shared" si="10"/>
        <v>0</v>
      </c>
      <c r="N246">
        <f t="shared" si="11"/>
        <v>0</v>
      </c>
    </row>
    <row r="247" spans="1:14">
      <c r="A247">
        <v>7548</v>
      </c>
      <c r="B247" t="s">
        <v>1083</v>
      </c>
      <c r="C247" t="s">
        <v>755</v>
      </c>
      <c r="D247" t="s">
        <v>818</v>
      </c>
      <c r="E247">
        <v>112962</v>
      </c>
      <c r="G247" s="2">
        <v>0.40347222222222223</v>
      </c>
      <c r="H247" s="2">
        <v>0.47986111111111113</v>
      </c>
      <c r="J247">
        <v>1.7223657255453599</v>
      </c>
      <c r="K247" t="s">
        <v>773</v>
      </c>
      <c r="L247" t="str">
        <f t="shared" si="9"/>
        <v>33</v>
      </c>
      <c r="M247">
        <f t="shared" si="10"/>
        <v>0</v>
      </c>
      <c r="N247">
        <f t="shared" si="11"/>
        <v>0</v>
      </c>
    </row>
    <row r="248" spans="1:14">
      <c r="A248">
        <v>7058</v>
      </c>
      <c r="B248" t="s">
        <v>864</v>
      </c>
      <c r="C248" t="s">
        <v>754</v>
      </c>
      <c r="D248" t="s">
        <v>830</v>
      </c>
      <c r="E248">
        <v>26305</v>
      </c>
      <c r="G248" s="2">
        <v>0.53680555555555554</v>
      </c>
      <c r="H248" s="2">
        <v>0.83333333333333337</v>
      </c>
      <c r="J248">
        <v>6.6298589725544401</v>
      </c>
      <c r="K248" t="s">
        <v>865</v>
      </c>
      <c r="L248" t="str">
        <f t="shared" si="9"/>
        <v>33</v>
      </c>
      <c r="M248">
        <f t="shared" si="10"/>
        <v>0</v>
      </c>
      <c r="N248">
        <f t="shared" si="11"/>
        <v>0</v>
      </c>
    </row>
    <row r="249" spans="1:14">
      <c r="A249">
        <v>7981</v>
      </c>
      <c r="B249" t="s">
        <v>1185</v>
      </c>
      <c r="C249" t="s">
        <v>755</v>
      </c>
      <c r="D249" t="s">
        <v>1173</v>
      </c>
      <c r="E249">
        <v>902333</v>
      </c>
      <c r="G249" s="2">
        <v>0.47361111111111115</v>
      </c>
      <c r="H249" s="2">
        <v>0.61319444444444449</v>
      </c>
      <c r="J249">
        <v>3.1358046385164302</v>
      </c>
      <c r="K249" t="s">
        <v>817</v>
      </c>
      <c r="L249" t="str">
        <f t="shared" si="9"/>
        <v>46</v>
      </c>
      <c r="M249">
        <f t="shared" si="10"/>
        <v>0</v>
      </c>
      <c r="N249">
        <f t="shared" si="11"/>
        <v>0</v>
      </c>
    </row>
    <row r="250" spans="1:14">
      <c r="A250">
        <v>7981</v>
      </c>
      <c r="B250" t="s">
        <v>1185</v>
      </c>
      <c r="C250" t="s">
        <v>755</v>
      </c>
      <c r="D250" t="s">
        <v>1173</v>
      </c>
      <c r="E250">
        <v>902333</v>
      </c>
      <c r="G250" s="2">
        <v>0.61319444444444449</v>
      </c>
      <c r="H250" s="2">
        <v>0.63263888888888886</v>
      </c>
      <c r="J250">
        <v>0.436828506858011</v>
      </c>
      <c r="K250" t="s">
        <v>877</v>
      </c>
      <c r="L250" t="str">
        <f t="shared" si="9"/>
        <v>46</v>
      </c>
      <c r="M250">
        <f t="shared" si="10"/>
        <v>0</v>
      </c>
      <c r="N250">
        <f t="shared" si="11"/>
        <v>0</v>
      </c>
    </row>
    <row r="251" spans="1:14">
      <c r="A251">
        <v>7981</v>
      </c>
      <c r="B251" t="s">
        <v>1185</v>
      </c>
      <c r="C251" t="s">
        <v>755</v>
      </c>
      <c r="D251" t="s">
        <v>1173</v>
      </c>
      <c r="E251">
        <v>902333</v>
      </c>
      <c r="G251" s="2">
        <v>0.63263888888888886</v>
      </c>
      <c r="H251" s="2">
        <v>0.66736111111111107</v>
      </c>
      <c r="J251">
        <v>0.78005090510358999</v>
      </c>
      <c r="K251" t="s">
        <v>815</v>
      </c>
      <c r="L251" t="str">
        <f t="shared" si="9"/>
        <v>46</v>
      </c>
      <c r="M251">
        <f t="shared" si="10"/>
        <v>0</v>
      </c>
      <c r="N251">
        <f t="shared" si="11"/>
        <v>0</v>
      </c>
    </row>
    <row r="252" spans="1:14">
      <c r="A252">
        <v>7981</v>
      </c>
      <c r="B252" t="s">
        <v>1185</v>
      </c>
      <c r="C252" t="s">
        <v>755</v>
      </c>
      <c r="D252" t="s">
        <v>1173</v>
      </c>
      <c r="E252">
        <v>902333</v>
      </c>
      <c r="G252" s="2">
        <v>0.66736111111111107</v>
      </c>
      <c r="H252" s="2">
        <v>0.67152777777777783</v>
      </c>
      <c r="J252">
        <v>9.3606108612430905E-2</v>
      </c>
      <c r="K252" t="s">
        <v>877</v>
      </c>
      <c r="L252" t="str">
        <f t="shared" si="9"/>
        <v>46</v>
      </c>
      <c r="M252">
        <f t="shared" si="10"/>
        <v>0</v>
      </c>
      <c r="N252">
        <f t="shared" si="11"/>
        <v>0</v>
      </c>
    </row>
    <row r="253" spans="1:14">
      <c r="A253">
        <v>7981</v>
      </c>
      <c r="B253" t="s">
        <v>1185</v>
      </c>
      <c r="C253" t="s">
        <v>755</v>
      </c>
      <c r="D253" t="s">
        <v>1173</v>
      </c>
      <c r="E253">
        <v>902333</v>
      </c>
      <c r="G253" s="2">
        <v>0.67152777777777783</v>
      </c>
      <c r="H253" s="2">
        <v>0.68333333333333324</v>
      </c>
      <c r="J253">
        <v>0.26521730773522001</v>
      </c>
      <c r="K253" t="s">
        <v>816</v>
      </c>
      <c r="L253" t="str">
        <f t="shared" si="9"/>
        <v>46</v>
      </c>
      <c r="M253">
        <f t="shared" si="10"/>
        <v>0</v>
      </c>
      <c r="N253">
        <f t="shared" si="11"/>
        <v>0</v>
      </c>
    </row>
    <row r="254" spans="1:14">
      <c r="A254">
        <v>7981</v>
      </c>
      <c r="B254" t="s">
        <v>1185</v>
      </c>
      <c r="C254" t="s">
        <v>755</v>
      </c>
      <c r="D254" t="s">
        <v>1173</v>
      </c>
      <c r="E254">
        <v>902333</v>
      </c>
      <c r="G254" s="2">
        <v>0.68333333333333324</v>
      </c>
      <c r="H254" s="2">
        <v>0.70972222222222225</v>
      </c>
      <c r="J254">
        <v>0.59283868787872895</v>
      </c>
      <c r="K254" t="s">
        <v>877</v>
      </c>
      <c r="L254" t="str">
        <f t="shared" si="9"/>
        <v>46</v>
      </c>
      <c r="M254">
        <f t="shared" si="10"/>
        <v>0</v>
      </c>
      <c r="N254">
        <f t="shared" si="11"/>
        <v>0</v>
      </c>
    </row>
    <row r="255" spans="1:14">
      <c r="A255">
        <v>7981</v>
      </c>
      <c r="B255" t="s">
        <v>1185</v>
      </c>
      <c r="C255" t="s">
        <v>755</v>
      </c>
      <c r="D255" t="s">
        <v>1173</v>
      </c>
      <c r="E255">
        <v>902333</v>
      </c>
      <c r="G255" s="2">
        <v>0.70972222222222225</v>
      </c>
      <c r="H255" s="2">
        <v>0.7583333333333333</v>
      </c>
      <c r="J255">
        <v>1.0920712671450299</v>
      </c>
      <c r="K255" t="s">
        <v>815</v>
      </c>
      <c r="L255" t="str">
        <f t="shared" si="9"/>
        <v>46</v>
      </c>
      <c r="M255">
        <f t="shared" si="10"/>
        <v>0</v>
      </c>
      <c r="N255">
        <f t="shared" si="11"/>
        <v>0</v>
      </c>
    </row>
    <row r="256" spans="1:14">
      <c r="A256">
        <v>7981</v>
      </c>
      <c r="B256" t="s">
        <v>1185</v>
      </c>
      <c r="C256" t="s">
        <v>755</v>
      </c>
      <c r="D256" t="s">
        <v>1173</v>
      </c>
      <c r="E256">
        <v>902333</v>
      </c>
      <c r="G256" s="2">
        <v>0.7583333333333333</v>
      </c>
      <c r="H256" s="2">
        <v>0.77083333333333337</v>
      </c>
      <c r="J256">
        <v>0.28081832583729199</v>
      </c>
      <c r="K256" t="s">
        <v>816</v>
      </c>
      <c r="L256" t="str">
        <f t="shared" si="9"/>
        <v>46</v>
      </c>
      <c r="M256">
        <f t="shared" si="10"/>
        <v>0</v>
      </c>
      <c r="N256">
        <f t="shared" si="11"/>
        <v>0</v>
      </c>
    </row>
    <row r="257" spans="1:14">
      <c r="A257">
        <v>7981</v>
      </c>
      <c r="B257" t="s">
        <v>1185</v>
      </c>
      <c r="C257" t="s">
        <v>755</v>
      </c>
      <c r="D257" t="s">
        <v>1173</v>
      </c>
      <c r="E257">
        <v>902333</v>
      </c>
      <c r="G257" s="2">
        <v>0.77083333333333337</v>
      </c>
      <c r="H257" s="2">
        <v>0.80208333333333337</v>
      </c>
      <c r="J257">
        <v>0.70204581459323201</v>
      </c>
      <c r="K257" t="s">
        <v>778</v>
      </c>
      <c r="L257" t="str">
        <f t="shared" si="9"/>
        <v>37</v>
      </c>
      <c r="M257">
        <f t="shared" si="10"/>
        <v>0</v>
      </c>
      <c r="N257">
        <f t="shared" si="11"/>
        <v>0</v>
      </c>
    </row>
    <row r="258" spans="1:14">
      <c r="A258">
        <v>4122</v>
      </c>
      <c r="B258" t="s">
        <v>1186</v>
      </c>
      <c r="C258" t="s">
        <v>756</v>
      </c>
      <c r="E258">
        <v>918735</v>
      </c>
      <c r="G258" s="2">
        <v>0.48472222222222222</v>
      </c>
      <c r="H258" s="2">
        <v>0.5</v>
      </c>
      <c r="J258">
        <v>0.343949564343558</v>
      </c>
      <c r="K258" t="s">
        <v>817</v>
      </c>
      <c r="L258" t="str">
        <f t="shared" ref="L258:L321" si="12">RIGHT(LEFT(K258,4),2)</f>
        <v>46</v>
      </c>
      <c r="M258">
        <f t="shared" ref="M258:M321" si="13">IF(I258=0,0,I258-H258)+IF(F258=0,0,G258-F258)</f>
        <v>0</v>
      </c>
      <c r="N258">
        <f t="shared" ref="N258:N321" si="14">(M258-INT(M258))*24</f>
        <v>0</v>
      </c>
    </row>
    <row r="259" spans="1:14">
      <c r="A259">
        <v>4122</v>
      </c>
      <c r="B259" t="s">
        <v>1186</v>
      </c>
      <c r="C259" t="s">
        <v>756</v>
      </c>
      <c r="E259">
        <v>918735</v>
      </c>
      <c r="G259" s="2">
        <v>0.5</v>
      </c>
      <c r="H259" s="2">
        <v>0.74861111111111101</v>
      </c>
      <c r="J259">
        <v>5.5969974561360702</v>
      </c>
      <c r="K259" t="s">
        <v>1070</v>
      </c>
      <c r="L259" t="str">
        <f t="shared" si="12"/>
        <v>33</v>
      </c>
      <c r="M259">
        <f t="shared" si="13"/>
        <v>0</v>
      </c>
      <c r="N259">
        <f t="shared" si="14"/>
        <v>0</v>
      </c>
    </row>
    <row r="260" spans="1:14">
      <c r="A260">
        <v>4122</v>
      </c>
      <c r="B260" t="s">
        <v>1186</v>
      </c>
      <c r="C260" t="s">
        <v>756</v>
      </c>
      <c r="E260">
        <v>918735</v>
      </c>
      <c r="G260" s="2">
        <v>0.76111111111111107</v>
      </c>
      <c r="H260" s="2">
        <v>0.8125</v>
      </c>
      <c r="J260">
        <v>1.1569212618828699</v>
      </c>
      <c r="K260" t="s">
        <v>759</v>
      </c>
      <c r="L260" t="str">
        <f t="shared" si="12"/>
        <v>33</v>
      </c>
      <c r="M260">
        <f t="shared" si="13"/>
        <v>0</v>
      </c>
      <c r="N260">
        <f t="shared" si="14"/>
        <v>0</v>
      </c>
    </row>
    <row r="261" spans="1:14">
      <c r="A261">
        <v>5129</v>
      </c>
      <c r="B261" t="s">
        <v>1084</v>
      </c>
      <c r="C261" t="s">
        <v>1073</v>
      </c>
      <c r="E261">
        <v>5129</v>
      </c>
      <c r="G261" s="2">
        <v>0.5625</v>
      </c>
      <c r="H261" s="2">
        <v>0.76388888888888884</v>
      </c>
      <c r="J261">
        <v>4.8333333333333304</v>
      </c>
      <c r="K261" t="s">
        <v>759</v>
      </c>
      <c r="L261" t="str">
        <f t="shared" si="12"/>
        <v>33</v>
      </c>
      <c r="M261">
        <f t="shared" si="13"/>
        <v>0</v>
      </c>
      <c r="N261">
        <f t="shared" si="14"/>
        <v>0</v>
      </c>
    </row>
    <row r="262" spans="1:14">
      <c r="A262">
        <v>5129</v>
      </c>
      <c r="B262" t="s">
        <v>1084</v>
      </c>
      <c r="C262" t="s">
        <v>1073</v>
      </c>
      <c r="E262">
        <v>5129</v>
      </c>
      <c r="G262" s="2">
        <v>0.76388888888888884</v>
      </c>
      <c r="H262" s="2">
        <v>0.8125</v>
      </c>
      <c r="J262">
        <v>1.1666666666666701</v>
      </c>
      <c r="K262" t="s">
        <v>760</v>
      </c>
      <c r="L262" t="str">
        <f t="shared" si="12"/>
        <v>33</v>
      </c>
      <c r="M262">
        <f t="shared" si="13"/>
        <v>0</v>
      </c>
      <c r="N262">
        <f t="shared" si="14"/>
        <v>0</v>
      </c>
    </row>
    <row r="263" spans="1:14">
      <c r="A263">
        <v>7752</v>
      </c>
      <c r="B263" t="s">
        <v>1085</v>
      </c>
      <c r="C263" t="s">
        <v>754</v>
      </c>
      <c r="D263" t="s">
        <v>1086</v>
      </c>
      <c r="E263">
        <v>386862</v>
      </c>
      <c r="G263" s="2">
        <v>3.0555555555555555E-2</v>
      </c>
      <c r="H263" s="2">
        <v>5.2083333333333336E-2</v>
      </c>
      <c r="J263">
        <v>0.48618585063335001</v>
      </c>
      <c r="K263" t="s">
        <v>957</v>
      </c>
      <c r="L263" t="str">
        <f t="shared" si="12"/>
        <v>46</v>
      </c>
      <c r="M263">
        <f t="shared" si="13"/>
        <v>0</v>
      </c>
      <c r="N263">
        <f t="shared" si="14"/>
        <v>0</v>
      </c>
    </row>
    <row r="264" spans="1:14">
      <c r="A264">
        <v>7752</v>
      </c>
      <c r="B264" t="s">
        <v>1085</v>
      </c>
      <c r="C264" t="s">
        <v>754</v>
      </c>
      <c r="D264" t="s">
        <v>1086</v>
      </c>
      <c r="E264">
        <v>386862</v>
      </c>
      <c r="G264" s="2">
        <v>5.2083333333333336E-2</v>
      </c>
      <c r="H264" s="2">
        <v>0.37222222222222223</v>
      </c>
      <c r="J264">
        <v>7.2300541013539998</v>
      </c>
      <c r="K264" t="s">
        <v>999</v>
      </c>
      <c r="L264" t="str">
        <f t="shared" si="12"/>
        <v>46</v>
      </c>
      <c r="M264">
        <f t="shared" si="13"/>
        <v>0</v>
      </c>
      <c r="N264">
        <f t="shared" si="14"/>
        <v>0</v>
      </c>
    </row>
    <row r="265" spans="1:14">
      <c r="A265">
        <v>7752</v>
      </c>
      <c r="B265" t="s">
        <v>1085</v>
      </c>
      <c r="C265" t="s">
        <v>754</v>
      </c>
      <c r="D265" t="s">
        <v>1086</v>
      </c>
      <c r="E265">
        <v>386862</v>
      </c>
      <c r="G265" s="2">
        <v>0.37222222222222223</v>
      </c>
      <c r="H265" s="2">
        <v>0.375</v>
      </c>
      <c r="J265">
        <v>6.2733658146238699E-2</v>
      </c>
      <c r="K265" t="s">
        <v>957</v>
      </c>
      <c r="L265" t="str">
        <f t="shared" si="12"/>
        <v>46</v>
      </c>
      <c r="M265">
        <f t="shared" si="13"/>
        <v>0</v>
      </c>
      <c r="N265">
        <f t="shared" si="14"/>
        <v>0</v>
      </c>
    </row>
    <row r="266" spans="1:14">
      <c r="A266">
        <v>7260</v>
      </c>
      <c r="B266" t="s">
        <v>1187</v>
      </c>
      <c r="C266" t="s">
        <v>755</v>
      </c>
      <c r="D266" t="s">
        <v>835</v>
      </c>
      <c r="E266">
        <v>215232</v>
      </c>
      <c r="G266" s="2">
        <v>6.458333333333334E-2</v>
      </c>
      <c r="H266" s="2">
        <v>6.6666666666666666E-2</v>
      </c>
      <c r="J266">
        <v>4.7459081119884297E-2</v>
      </c>
      <c r="K266" t="s">
        <v>798</v>
      </c>
      <c r="L266" t="str">
        <f t="shared" si="12"/>
        <v>33</v>
      </c>
      <c r="M266">
        <f t="shared" si="13"/>
        <v>0</v>
      </c>
      <c r="N266">
        <f t="shared" si="14"/>
        <v>0</v>
      </c>
    </row>
    <row r="267" spans="1:14">
      <c r="A267">
        <v>7260</v>
      </c>
      <c r="B267" t="s">
        <v>1187</v>
      </c>
      <c r="C267" t="s">
        <v>755</v>
      </c>
      <c r="D267" t="s">
        <v>835</v>
      </c>
      <c r="E267">
        <v>215232</v>
      </c>
      <c r="G267" s="2">
        <v>6.6666666666666666E-2</v>
      </c>
      <c r="H267" s="2">
        <v>0.22430555555555556</v>
      </c>
      <c r="J267">
        <v>3.59107047140458</v>
      </c>
      <c r="K267" t="s">
        <v>799</v>
      </c>
      <c r="L267" t="str">
        <f t="shared" si="12"/>
        <v>33</v>
      </c>
      <c r="M267">
        <f t="shared" si="13"/>
        <v>0</v>
      </c>
      <c r="N267">
        <f t="shared" si="14"/>
        <v>0</v>
      </c>
    </row>
    <row r="268" spans="1:14">
      <c r="A268">
        <v>7260</v>
      </c>
      <c r="B268" t="s">
        <v>1187</v>
      </c>
      <c r="C268" t="s">
        <v>755</v>
      </c>
      <c r="D268" t="s">
        <v>835</v>
      </c>
      <c r="E268">
        <v>215232</v>
      </c>
      <c r="G268" s="2">
        <v>0.22430555555555556</v>
      </c>
      <c r="H268" s="2">
        <v>0.24305555555555555</v>
      </c>
      <c r="J268">
        <v>0.42713173007895899</v>
      </c>
      <c r="K268" t="s">
        <v>798</v>
      </c>
      <c r="L268" t="str">
        <f t="shared" si="12"/>
        <v>33</v>
      </c>
      <c r="M268">
        <f t="shared" si="13"/>
        <v>0</v>
      </c>
      <c r="N268">
        <f t="shared" si="14"/>
        <v>0</v>
      </c>
    </row>
    <row r="269" spans="1:14">
      <c r="A269">
        <v>7260</v>
      </c>
      <c r="B269" t="s">
        <v>1187</v>
      </c>
      <c r="C269" t="s">
        <v>755</v>
      </c>
      <c r="D269" t="s">
        <v>835</v>
      </c>
      <c r="E269">
        <v>215232</v>
      </c>
      <c r="G269" s="2">
        <v>0.24305555555555555</v>
      </c>
      <c r="H269" s="2">
        <v>0.25</v>
      </c>
      <c r="J269">
        <v>0.15819693706628099</v>
      </c>
      <c r="K269" t="s">
        <v>814</v>
      </c>
      <c r="L269" t="str">
        <f t="shared" si="12"/>
        <v>33</v>
      </c>
      <c r="M269">
        <f t="shared" si="13"/>
        <v>0</v>
      </c>
      <c r="N269">
        <f t="shared" si="14"/>
        <v>0</v>
      </c>
    </row>
    <row r="270" spans="1:14">
      <c r="A270">
        <v>7260</v>
      </c>
      <c r="B270" t="s">
        <v>1187</v>
      </c>
      <c r="C270" t="s">
        <v>755</v>
      </c>
      <c r="D270" t="s">
        <v>835</v>
      </c>
      <c r="E270">
        <v>215232</v>
      </c>
      <c r="G270" s="2">
        <v>0.25</v>
      </c>
      <c r="H270" s="2">
        <v>0.32708333333333334</v>
      </c>
      <c r="J270">
        <v>1.75598600143572</v>
      </c>
      <c r="K270" t="s">
        <v>798</v>
      </c>
      <c r="L270" t="str">
        <f t="shared" si="12"/>
        <v>33</v>
      </c>
      <c r="M270">
        <f t="shared" si="13"/>
        <v>0</v>
      </c>
      <c r="N270">
        <f t="shared" si="14"/>
        <v>0</v>
      </c>
    </row>
    <row r="271" spans="1:14">
      <c r="A271">
        <v>7260</v>
      </c>
      <c r="B271" t="s">
        <v>1187</v>
      </c>
      <c r="C271" t="s">
        <v>755</v>
      </c>
      <c r="D271" t="s">
        <v>835</v>
      </c>
      <c r="E271">
        <v>215232</v>
      </c>
      <c r="G271" s="2">
        <v>0.32708333333333334</v>
      </c>
      <c r="H271" s="2">
        <v>0.38055555555555554</v>
      </c>
      <c r="J271">
        <v>1.2181164154103601</v>
      </c>
      <c r="K271" t="s">
        <v>799</v>
      </c>
      <c r="L271" t="str">
        <f t="shared" si="12"/>
        <v>33</v>
      </c>
      <c r="M271">
        <f t="shared" si="13"/>
        <v>0</v>
      </c>
      <c r="N271">
        <f t="shared" si="14"/>
        <v>0</v>
      </c>
    </row>
    <row r="272" spans="1:14">
      <c r="A272">
        <v>7260</v>
      </c>
      <c r="B272" t="s">
        <v>1187</v>
      </c>
      <c r="C272" t="s">
        <v>755</v>
      </c>
      <c r="D272" t="s">
        <v>835</v>
      </c>
      <c r="E272">
        <v>215232</v>
      </c>
      <c r="G272" s="2">
        <v>0.38055555555555554</v>
      </c>
      <c r="H272" s="2">
        <v>0.3833333333333333</v>
      </c>
      <c r="J272">
        <v>6.3278774826512493E-2</v>
      </c>
      <c r="K272" t="s">
        <v>764</v>
      </c>
      <c r="L272" t="str">
        <f t="shared" si="12"/>
        <v>33</v>
      </c>
      <c r="M272">
        <f t="shared" si="13"/>
        <v>0</v>
      </c>
      <c r="N272">
        <f t="shared" si="14"/>
        <v>0</v>
      </c>
    </row>
    <row r="273" spans="1:14">
      <c r="A273">
        <v>7260</v>
      </c>
      <c r="B273" t="s">
        <v>1187</v>
      </c>
      <c r="C273" t="s">
        <v>755</v>
      </c>
      <c r="D273" t="s">
        <v>835</v>
      </c>
      <c r="E273">
        <v>215232</v>
      </c>
      <c r="G273" s="2">
        <v>0.3833333333333333</v>
      </c>
      <c r="H273" s="2">
        <v>0.47916666666666669</v>
      </c>
      <c r="J273">
        <v>2.1831177315146801</v>
      </c>
      <c r="K273" t="s">
        <v>759</v>
      </c>
      <c r="L273" t="str">
        <f t="shared" si="12"/>
        <v>33</v>
      </c>
      <c r="M273">
        <f t="shared" si="13"/>
        <v>0</v>
      </c>
      <c r="N273">
        <f t="shared" si="14"/>
        <v>0</v>
      </c>
    </row>
    <row r="274" spans="1:14">
      <c r="A274">
        <v>7588</v>
      </c>
      <c r="B274" t="s">
        <v>867</v>
      </c>
      <c r="C274" t="s">
        <v>754</v>
      </c>
      <c r="D274" t="s">
        <v>868</v>
      </c>
      <c r="E274">
        <v>148431</v>
      </c>
      <c r="G274" s="2">
        <v>0.12291666666666667</v>
      </c>
      <c r="H274" s="2">
        <v>0.14444444444444446</v>
      </c>
      <c r="J274">
        <v>0.48136645962732899</v>
      </c>
      <c r="K274" t="s">
        <v>1066</v>
      </c>
      <c r="L274" t="str">
        <f t="shared" si="12"/>
        <v>37</v>
      </c>
      <c r="M274">
        <f t="shared" si="13"/>
        <v>0</v>
      </c>
      <c r="N274">
        <f t="shared" si="14"/>
        <v>0</v>
      </c>
    </row>
    <row r="275" spans="1:14">
      <c r="A275">
        <v>7588</v>
      </c>
      <c r="B275" t="s">
        <v>867</v>
      </c>
      <c r="C275" t="s">
        <v>754</v>
      </c>
      <c r="D275" t="s">
        <v>868</v>
      </c>
      <c r="E275">
        <v>148431</v>
      </c>
      <c r="G275" s="2">
        <v>0.14444444444444446</v>
      </c>
      <c r="H275" s="2">
        <v>0.14583333333333334</v>
      </c>
      <c r="J275">
        <v>3.1055900621117901E-2</v>
      </c>
      <c r="K275" t="s">
        <v>779</v>
      </c>
      <c r="L275" t="str">
        <f t="shared" si="12"/>
        <v>37</v>
      </c>
      <c r="M275">
        <f t="shared" si="13"/>
        <v>0</v>
      </c>
      <c r="N275">
        <f t="shared" si="14"/>
        <v>0</v>
      </c>
    </row>
    <row r="276" spans="1:14">
      <c r="A276">
        <v>7588</v>
      </c>
      <c r="B276" t="s">
        <v>867</v>
      </c>
      <c r="C276" t="s">
        <v>754</v>
      </c>
      <c r="D276" t="s">
        <v>868</v>
      </c>
      <c r="E276">
        <v>148431</v>
      </c>
      <c r="G276" s="2">
        <v>0.14583333333333334</v>
      </c>
      <c r="H276" s="2">
        <v>0.19444444444444445</v>
      </c>
      <c r="J276">
        <v>1.0869565217391299</v>
      </c>
      <c r="K276" t="s">
        <v>780</v>
      </c>
      <c r="L276" t="str">
        <f t="shared" si="12"/>
        <v>46</v>
      </c>
      <c r="M276">
        <f t="shared" si="13"/>
        <v>0</v>
      </c>
      <c r="N276">
        <f t="shared" si="14"/>
        <v>0</v>
      </c>
    </row>
    <row r="277" spans="1:14">
      <c r="A277">
        <v>7588</v>
      </c>
      <c r="B277" t="s">
        <v>867</v>
      </c>
      <c r="C277" t="s">
        <v>754</v>
      </c>
      <c r="D277" t="s">
        <v>868</v>
      </c>
      <c r="E277">
        <v>148431</v>
      </c>
      <c r="G277" s="2">
        <v>0.19444444444444445</v>
      </c>
      <c r="H277" s="2">
        <v>0.22361111111111109</v>
      </c>
      <c r="J277">
        <v>0.65217391304347805</v>
      </c>
      <c r="K277" t="s">
        <v>779</v>
      </c>
      <c r="L277" t="str">
        <f t="shared" si="12"/>
        <v>37</v>
      </c>
      <c r="M277">
        <f t="shared" si="13"/>
        <v>0</v>
      </c>
      <c r="N277">
        <f t="shared" si="14"/>
        <v>0</v>
      </c>
    </row>
    <row r="278" spans="1:14">
      <c r="A278">
        <v>7588</v>
      </c>
      <c r="B278" t="s">
        <v>867</v>
      </c>
      <c r="C278" t="s">
        <v>754</v>
      </c>
      <c r="D278" t="s">
        <v>868</v>
      </c>
      <c r="E278">
        <v>148431</v>
      </c>
      <c r="G278" s="2">
        <v>0.22361111111111109</v>
      </c>
      <c r="H278" s="2">
        <v>0.29097222222222224</v>
      </c>
      <c r="J278">
        <v>1.50621118012422</v>
      </c>
      <c r="K278" t="s">
        <v>869</v>
      </c>
      <c r="L278" t="str">
        <f t="shared" si="12"/>
        <v>37</v>
      </c>
      <c r="M278">
        <f t="shared" si="13"/>
        <v>0</v>
      </c>
      <c r="N278">
        <f t="shared" si="14"/>
        <v>0</v>
      </c>
    </row>
    <row r="279" spans="1:14">
      <c r="A279">
        <v>7588</v>
      </c>
      <c r="B279" t="s">
        <v>867</v>
      </c>
      <c r="C279" t="s">
        <v>754</v>
      </c>
      <c r="D279" t="s">
        <v>868</v>
      </c>
      <c r="E279">
        <v>148431</v>
      </c>
      <c r="G279" s="2">
        <v>0.29097222222222224</v>
      </c>
      <c r="H279" s="2">
        <v>0.29375000000000001</v>
      </c>
      <c r="J279">
        <v>6.2111801242236003E-2</v>
      </c>
      <c r="K279" t="s">
        <v>780</v>
      </c>
      <c r="L279" t="str">
        <f t="shared" si="12"/>
        <v>46</v>
      </c>
      <c r="M279">
        <f t="shared" si="13"/>
        <v>0</v>
      </c>
      <c r="N279">
        <f t="shared" si="14"/>
        <v>0</v>
      </c>
    </row>
    <row r="280" spans="1:14">
      <c r="A280">
        <v>7588</v>
      </c>
      <c r="B280" t="s">
        <v>867</v>
      </c>
      <c r="C280" t="s">
        <v>754</v>
      </c>
      <c r="D280" t="s">
        <v>868</v>
      </c>
      <c r="E280">
        <v>148431</v>
      </c>
      <c r="G280" s="2">
        <v>0.29375000000000001</v>
      </c>
      <c r="H280" s="2">
        <v>0.40972222222222227</v>
      </c>
      <c r="J280">
        <v>2.5931677018633499</v>
      </c>
      <c r="K280" t="s">
        <v>779</v>
      </c>
      <c r="L280" t="str">
        <f t="shared" si="12"/>
        <v>37</v>
      </c>
      <c r="M280">
        <f t="shared" si="13"/>
        <v>0</v>
      </c>
      <c r="N280">
        <f t="shared" si="14"/>
        <v>0</v>
      </c>
    </row>
    <row r="281" spans="1:14">
      <c r="A281">
        <v>7588</v>
      </c>
      <c r="B281" t="s">
        <v>867</v>
      </c>
      <c r="C281" t="s">
        <v>754</v>
      </c>
      <c r="D281" t="s">
        <v>868</v>
      </c>
      <c r="E281">
        <v>148431</v>
      </c>
      <c r="G281" s="2">
        <v>0.40972222222222227</v>
      </c>
      <c r="H281" s="2">
        <v>0.45833333333333331</v>
      </c>
      <c r="J281">
        <v>1.0869565217391299</v>
      </c>
      <c r="K281" t="s">
        <v>1066</v>
      </c>
      <c r="L281" t="str">
        <f t="shared" si="12"/>
        <v>37</v>
      </c>
      <c r="M281">
        <f t="shared" si="13"/>
        <v>0</v>
      </c>
      <c r="N281">
        <f t="shared" si="14"/>
        <v>0</v>
      </c>
    </row>
    <row r="282" spans="1:14">
      <c r="A282">
        <v>7700</v>
      </c>
      <c r="B282" t="s">
        <v>1087</v>
      </c>
      <c r="C282" t="s">
        <v>754</v>
      </c>
      <c r="D282" t="s">
        <v>866</v>
      </c>
      <c r="E282">
        <v>220961</v>
      </c>
      <c r="G282" s="2">
        <v>0.52083333333333337</v>
      </c>
      <c r="H282" s="2">
        <v>0.55208333333333337</v>
      </c>
      <c r="J282">
        <v>0.749999999999999</v>
      </c>
      <c r="K282" t="s">
        <v>815</v>
      </c>
      <c r="L282" t="str">
        <f t="shared" si="12"/>
        <v>46</v>
      </c>
      <c r="M282">
        <f t="shared" si="13"/>
        <v>0</v>
      </c>
      <c r="N282">
        <f t="shared" si="14"/>
        <v>0</v>
      </c>
    </row>
    <row r="283" spans="1:14">
      <c r="A283">
        <v>7700</v>
      </c>
      <c r="B283" t="s">
        <v>1087</v>
      </c>
      <c r="C283" t="s">
        <v>754</v>
      </c>
      <c r="D283" t="s">
        <v>866</v>
      </c>
      <c r="E283">
        <v>220961</v>
      </c>
      <c r="G283" s="2">
        <v>0.82638888888888884</v>
      </c>
      <c r="H283" s="2">
        <v>0.89583333333333337</v>
      </c>
      <c r="J283">
        <v>1.6666666666666701</v>
      </c>
      <c r="K283" t="s">
        <v>759</v>
      </c>
      <c r="L283" t="str">
        <f t="shared" si="12"/>
        <v>33</v>
      </c>
      <c r="M283">
        <f t="shared" si="13"/>
        <v>0</v>
      </c>
      <c r="N283">
        <f t="shared" si="14"/>
        <v>0</v>
      </c>
    </row>
    <row r="284" spans="1:14">
      <c r="A284">
        <v>5188</v>
      </c>
      <c r="B284" t="s">
        <v>1088</v>
      </c>
      <c r="C284" t="s">
        <v>1073</v>
      </c>
      <c r="E284">
        <v>5188</v>
      </c>
      <c r="G284" s="2">
        <v>0.21875</v>
      </c>
      <c r="H284" s="2">
        <v>0.38263888888888892</v>
      </c>
      <c r="J284">
        <v>3.6874999999999898</v>
      </c>
      <c r="K284" t="s">
        <v>759</v>
      </c>
      <c r="L284" t="str">
        <f t="shared" si="12"/>
        <v>33</v>
      </c>
      <c r="M284">
        <f t="shared" si="13"/>
        <v>0</v>
      </c>
      <c r="N284">
        <f t="shared" si="14"/>
        <v>0</v>
      </c>
    </row>
    <row r="285" spans="1:14">
      <c r="A285">
        <v>5188</v>
      </c>
      <c r="B285" t="s">
        <v>1088</v>
      </c>
      <c r="C285" t="s">
        <v>1073</v>
      </c>
      <c r="E285">
        <v>5188</v>
      </c>
      <c r="G285" s="2">
        <v>0.38263888888888892</v>
      </c>
      <c r="H285" s="2">
        <v>0.3840277777777778</v>
      </c>
      <c r="J285">
        <v>3.1249999999999899E-2</v>
      </c>
      <c r="K285" t="s">
        <v>764</v>
      </c>
      <c r="L285" t="str">
        <f t="shared" si="12"/>
        <v>33</v>
      </c>
      <c r="M285">
        <f t="shared" si="13"/>
        <v>0</v>
      </c>
      <c r="N285">
        <f t="shared" si="14"/>
        <v>0</v>
      </c>
    </row>
    <row r="286" spans="1:14">
      <c r="A286">
        <v>5188</v>
      </c>
      <c r="B286" t="s">
        <v>1088</v>
      </c>
      <c r="C286" t="s">
        <v>1073</v>
      </c>
      <c r="E286">
        <v>5188</v>
      </c>
      <c r="G286" s="2">
        <v>0.3840277777777778</v>
      </c>
      <c r="H286" s="2">
        <v>0.55208333333333337</v>
      </c>
      <c r="J286">
        <v>3.7812499999999898</v>
      </c>
      <c r="K286" t="s">
        <v>759</v>
      </c>
      <c r="L286" t="str">
        <f t="shared" si="12"/>
        <v>33</v>
      </c>
      <c r="M286">
        <f t="shared" si="13"/>
        <v>0</v>
      </c>
      <c r="N286">
        <f t="shared" si="14"/>
        <v>0</v>
      </c>
    </row>
    <row r="287" spans="1:14">
      <c r="A287">
        <v>7871</v>
      </c>
      <c r="B287" t="s">
        <v>1188</v>
      </c>
      <c r="C287" t="s">
        <v>755</v>
      </c>
      <c r="D287" t="s">
        <v>777</v>
      </c>
      <c r="E287">
        <v>529586</v>
      </c>
      <c r="G287" s="2">
        <v>0.21597222222222223</v>
      </c>
      <c r="H287" s="2">
        <v>0.38611111111111113</v>
      </c>
      <c r="J287">
        <v>3.8287492831408798</v>
      </c>
      <c r="K287" t="s">
        <v>767</v>
      </c>
      <c r="L287" t="str">
        <f t="shared" si="12"/>
        <v>37</v>
      </c>
      <c r="M287">
        <f t="shared" si="13"/>
        <v>0</v>
      </c>
      <c r="N287">
        <f t="shared" si="14"/>
        <v>0</v>
      </c>
    </row>
    <row r="288" spans="1:14">
      <c r="A288">
        <v>7871</v>
      </c>
      <c r="B288" t="s">
        <v>1188</v>
      </c>
      <c r="C288" t="s">
        <v>755</v>
      </c>
      <c r="D288" t="s">
        <v>777</v>
      </c>
      <c r="E288">
        <v>529586</v>
      </c>
      <c r="G288" s="2">
        <v>0.38611111111111113</v>
      </c>
      <c r="H288" s="2">
        <v>0.39652777777777781</v>
      </c>
      <c r="J288">
        <v>0.234413221416788</v>
      </c>
      <c r="K288" t="s">
        <v>827</v>
      </c>
      <c r="L288" t="str">
        <f t="shared" si="12"/>
        <v>37</v>
      </c>
      <c r="M288">
        <f t="shared" si="13"/>
        <v>0</v>
      </c>
      <c r="N288">
        <f t="shared" si="14"/>
        <v>0</v>
      </c>
    </row>
    <row r="289" spans="1:14">
      <c r="A289">
        <v>7871</v>
      </c>
      <c r="B289" t="s">
        <v>1188</v>
      </c>
      <c r="C289" t="s">
        <v>755</v>
      </c>
      <c r="D289" t="s">
        <v>777</v>
      </c>
      <c r="E289">
        <v>529586</v>
      </c>
      <c r="G289" s="2">
        <v>0.39652777777777781</v>
      </c>
      <c r="H289" s="2">
        <v>0.42430555555555555</v>
      </c>
      <c r="J289">
        <v>0.62510192377810403</v>
      </c>
      <c r="K289" t="s">
        <v>767</v>
      </c>
      <c r="L289" t="str">
        <f t="shared" si="12"/>
        <v>37</v>
      </c>
      <c r="M289">
        <f t="shared" si="13"/>
        <v>0</v>
      </c>
      <c r="N289">
        <f t="shared" si="14"/>
        <v>0</v>
      </c>
    </row>
    <row r="290" spans="1:14">
      <c r="A290">
        <v>7871</v>
      </c>
      <c r="B290" t="s">
        <v>1188</v>
      </c>
      <c r="C290" t="s">
        <v>755</v>
      </c>
      <c r="D290" t="s">
        <v>777</v>
      </c>
      <c r="E290">
        <v>529586</v>
      </c>
      <c r="G290" s="2">
        <v>0.42430555555555555</v>
      </c>
      <c r="H290" s="2">
        <v>0.4375</v>
      </c>
      <c r="J290">
        <v>0.29692341379459902</v>
      </c>
      <c r="K290" t="s">
        <v>827</v>
      </c>
      <c r="L290" t="str">
        <f t="shared" si="12"/>
        <v>37</v>
      </c>
      <c r="M290">
        <f t="shared" si="13"/>
        <v>0</v>
      </c>
      <c r="N290">
        <f t="shared" si="14"/>
        <v>0</v>
      </c>
    </row>
    <row r="291" spans="1:14">
      <c r="A291">
        <v>7871</v>
      </c>
      <c r="B291" t="s">
        <v>1188</v>
      </c>
      <c r="C291" t="s">
        <v>755</v>
      </c>
      <c r="D291" t="s">
        <v>777</v>
      </c>
      <c r="E291">
        <v>529586</v>
      </c>
      <c r="G291" s="2">
        <v>0.4375</v>
      </c>
      <c r="H291" s="2">
        <v>0.44791666666666669</v>
      </c>
      <c r="J291">
        <v>0.234413221416788</v>
      </c>
      <c r="K291" t="s">
        <v>767</v>
      </c>
      <c r="L291" t="str">
        <f t="shared" si="12"/>
        <v>37</v>
      </c>
      <c r="M291">
        <f t="shared" si="13"/>
        <v>0</v>
      </c>
      <c r="N291">
        <f t="shared" si="14"/>
        <v>0</v>
      </c>
    </row>
    <row r="292" spans="1:14">
      <c r="A292">
        <v>7871</v>
      </c>
      <c r="B292" t="s">
        <v>1188</v>
      </c>
      <c r="C292" t="s">
        <v>755</v>
      </c>
      <c r="D292" t="s">
        <v>777</v>
      </c>
      <c r="E292">
        <v>529586</v>
      </c>
      <c r="G292" s="2">
        <v>0.44791666666666669</v>
      </c>
      <c r="H292" s="2">
        <v>0.46666666666666662</v>
      </c>
      <c r="J292">
        <v>0.42194379855022002</v>
      </c>
      <c r="K292" t="s">
        <v>827</v>
      </c>
      <c r="L292" t="str">
        <f t="shared" si="12"/>
        <v>37</v>
      </c>
      <c r="M292">
        <f t="shared" si="13"/>
        <v>0</v>
      </c>
      <c r="N292">
        <f t="shared" si="14"/>
        <v>0</v>
      </c>
    </row>
    <row r="293" spans="1:14">
      <c r="A293">
        <v>7871</v>
      </c>
      <c r="B293" t="s">
        <v>1188</v>
      </c>
      <c r="C293" t="s">
        <v>755</v>
      </c>
      <c r="D293" t="s">
        <v>777</v>
      </c>
      <c r="E293">
        <v>529586</v>
      </c>
      <c r="G293" s="2">
        <v>0.46666666666666662</v>
      </c>
      <c r="H293" s="2">
        <v>0.54166666666666663</v>
      </c>
      <c r="J293">
        <v>1.6877751942008801</v>
      </c>
      <c r="K293" t="s">
        <v>767</v>
      </c>
      <c r="L293" t="str">
        <f t="shared" si="12"/>
        <v>37</v>
      </c>
      <c r="M293">
        <f t="shared" si="13"/>
        <v>0</v>
      </c>
      <c r="N293">
        <f t="shared" si="14"/>
        <v>0</v>
      </c>
    </row>
    <row r="294" spans="1:14">
      <c r="A294">
        <v>7306</v>
      </c>
      <c r="B294" t="s">
        <v>1189</v>
      </c>
      <c r="C294" t="s">
        <v>754</v>
      </c>
      <c r="D294" t="s">
        <v>852</v>
      </c>
      <c r="E294">
        <v>338091</v>
      </c>
      <c r="G294" s="2">
        <v>3.6805555555555557E-2</v>
      </c>
      <c r="H294" s="2">
        <v>0.36875000000000002</v>
      </c>
      <c r="J294">
        <v>7.5814968376214802</v>
      </c>
      <c r="K294" t="s">
        <v>957</v>
      </c>
      <c r="L294" t="str">
        <f t="shared" si="12"/>
        <v>46</v>
      </c>
      <c r="M294">
        <f t="shared" si="13"/>
        <v>0</v>
      </c>
      <c r="N294">
        <f t="shared" si="14"/>
        <v>0</v>
      </c>
    </row>
    <row r="295" spans="1:14">
      <c r="A295">
        <v>7306</v>
      </c>
      <c r="B295" t="s">
        <v>1189</v>
      </c>
      <c r="C295" t="s">
        <v>754</v>
      </c>
      <c r="D295" t="s">
        <v>852</v>
      </c>
      <c r="E295">
        <v>338091</v>
      </c>
      <c r="G295" s="2">
        <v>0.36875000000000002</v>
      </c>
      <c r="H295" s="2">
        <v>0.38680555555555557</v>
      </c>
      <c r="J295">
        <v>0.41238267317606297</v>
      </c>
      <c r="K295" t="s">
        <v>925</v>
      </c>
      <c r="L295" t="str">
        <f t="shared" si="12"/>
        <v>46</v>
      </c>
      <c r="M295">
        <f t="shared" si="13"/>
        <v>0</v>
      </c>
      <c r="N295">
        <f t="shared" si="14"/>
        <v>0</v>
      </c>
    </row>
    <row r="296" spans="1:14">
      <c r="A296">
        <v>7306</v>
      </c>
      <c r="B296" t="s">
        <v>1189</v>
      </c>
      <c r="C296" t="s">
        <v>754</v>
      </c>
      <c r="D296" t="s">
        <v>852</v>
      </c>
      <c r="E296">
        <v>338091</v>
      </c>
      <c r="G296" s="2">
        <v>0.38680555555555557</v>
      </c>
      <c r="H296" s="2">
        <v>0.45833333333333331</v>
      </c>
      <c r="J296">
        <v>1.6336698206590201</v>
      </c>
      <c r="K296" t="s">
        <v>957</v>
      </c>
      <c r="L296" t="str">
        <f t="shared" si="12"/>
        <v>46</v>
      </c>
      <c r="M296">
        <f t="shared" si="13"/>
        <v>0</v>
      </c>
      <c r="N296">
        <f t="shared" si="14"/>
        <v>0</v>
      </c>
    </row>
    <row r="297" spans="1:14">
      <c r="A297">
        <v>8037</v>
      </c>
      <c r="B297" t="s">
        <v>872</v>
      </c>
      <c r="C297" t="s">
        <v>754</v>
      </c>
      <c r="D297" t="s">
        <v>775</v>
      </c>
      <c r="E297">
        <v>8037</v>
      </c>
      <c r="G297" s="2">
        <v>0.3125</v>
      </c>
      <c r="H297" s="2">
        <v>0.66666666666666663</v>
      </c>
      <c r="J297">
        <v>8</v>
      </c>
      <c r="K297" t="s">
        <v>873</v>
      </c>
      <c r="L297" t="str">
        <f t="shared" si="12"/>
        <v>15</v>
      </c>
      <c r="M297">
        <f t="shared" si="13"/>
        <v>0</v>
      </c>
      <c r="N297">
        <f t="shared" si="14"/>
        <v>0</v>
      </c>
    </row>
    <row r="298" spans="1:14">
      <c r="A298">
        <v>7327</v>
      </c>
      <c r="B298" t="s">
        <v>1190</v>
      </c>
      <c r="C298" t="s">
        <v>755</v>
      </c>
      <c r="D298" t="s">
        <v>823</v>
      </c>
      <c r="E298">
        <v>35244</v>
      </c>
      <c r="G298" s="2">
        <v>0.51527777777777783</v>
      </c>
      <c r="H298" s="2">
        <v>0.58958333333333335</v>
      </c>
      <c r="J298">
        <v>1.7823535811384701</v>
      </c>
      <c r="K298" t="s">
        <v>778</v>
      </c>
      <c r="L298" t="str">
        <f t="shared" si="12"/>
        <v>37</v>
      </c>
      <c r="M298">
        <f t="shared" si="13"/>
        <v>0</v>
      </c>
      <c r="N298">
        <f t="shared" si="14"/>
        <v>0</v>
      </c>
    </row>
    <row r="299" spans="1:14">
      <c r="A299">
        <v>7327</v>
      </c>
      <c r="B299" t="s">
        <v>1190</v>
      </c>
      <c r="C299" t="s">
        <v>755</v>
      </c>
      <c r="D299" t="s">
        <v>823</v>
      </c>
      <c r="E299">
        <v>35244</v>
      </c>
      <c r="G299" s="2">
        <v>0.58958333333333335</v>
      </c>
      <c r="H299" s="2">
        <v>0.70625000000000004</v>
      </c>
      <c r="J299">
        <v>2.7984616974884502</v>
      </c>
      <c r="K299" t="s">
        <v>787</v>
      </c>
      <c r="L299" t="str">
        <f t="shared" si="12"/>
        <v>33</v>
      </c>
      <c r="M299">
        <f t="shared" si="13"/>
        <v>0</v>
      </c>
      <c r="N299">
        <f t="shared" si="14"/>
        <v>0</v>
      </c>
    </row>
    <row r="300" spans="1:14">
      <c r="A300">
        <v>7327</v>
      </c>
      <c r="B300" t="s">
        <v>1190</v>
      </c>
      <c r="C300" t="s">
        <v>755</v>
      </c>
      <c r="D300" t="s">
        <v>823</v>
      </c>
      <c r="E300">
        <v>35244</v>
      </c>
      <c r="G300" s="2">
        <v>0.70625000000000004</v>
      </c>
      <c r="H300" s="2">
        <v>0.77430555555555547</v>
      </c>
      <c r="J300">
        <v>1.6324359902015899</v>
      </c>
      <c r="K300" t="s">
        <v>778</v>
      </c>
      <c r="L300" t="str">
        <f t="shared" si="12"/>
        <v>37</v>
      </c>
      <c r="M300">
        <f t="shared" si="13"/>
        <v>0</v>
      </c>
      <c r="N300">
        <f t="shared" si="14"/>
        <v>0</v>
      </c>
    </row>
    <row r="301" spans="1:14">
      <c r="A301">
        <v>7327</v>
      </c>
      <c r="B301" t="s">
        <v>1190</v>
      </c>
      <c r="C301" t="s">
        <v>755</v>
      </c>
      <c r="D301" t="s">
        <v>823</v>
      </c>
      <c r="E301">
        <v>35244</v>
      </c>
      <c r="G301" s="2">
        <v>0.77430555555555547</v>
      </c>
      <c r="H301" s="2">
        <v>0.8965277777777777</v>
      </c>
      <c r="J301">
        <v>2.9317217783212302</v>
      </c>
      <c r="K301" t="s">
        <v>871</v>
      </c>
      <c r="L301" t="str">
        <f t="shared" si="12"/>
        <v>37</v>
      </c>
      <c r="M301">
        <f t="shared" si="13"/>
        <v>0</v>
      </c>
      <c r="N301">
        <f t="shared" si="14"/>
        <v>0</v>
      </c>
    </row>
    <row r="302" spans="1:14">
      <c r="A302">
        <v>7930</v>
      </c>
      <c r="B302" t="s">
        <v>1089</v>
      </c>
      <c r="C302" t="s">
        <v>755</v>
      </c>
      <c r="D302" t="s">
        <v>788</v>
      </c>
      <c r="E302">
        <v>836630</v>
      </c>
      <c r="G302" s="2">
        <v>0.42777777777777781</v>
      </c>
      <c r="H302" s="2">
        <v>0.45694444444444443</v>
      </c>
      <c r="J302">
        <v>0.69960617450569096</v>
      </c>
      <c r="K302" t="s">
        <v>768</v>
      </c>
      <c r="L302" t="str">
        <f t="shared" si="12"/>
        <v>46</v>
      </c>
      <c r="M302">
        <f t="shared" si="13"/>
        <v>0</v>
      </c>
      <c r="N302">
        <f t="shared" si="14"/>
        <v>0</v>
      </c>
    </row>
    <row r="303" spans="1:14">
      <c r="A303">
        <v>7930</v>
      </c>
      <c r="B303" t="s">
        <v>1089</v>
      </c>
      <c r="C303" t="s">
        <v>755</v>
      </c>
      <c r="D303" t="s">
        <v>788</v>
      </c>
      <c r="E303">
        <v>836630</v>
      </c>
      <c r="G303" s="2">
        <v>0.45694444444444443</v>
      </c>
      <c r="H303" s="2">
        <v>0.47013888888888888</v>
      </c>
      <c r="J303">
        <v>0.31648850751447899</v>
      </c>
      <c r="K303" t="s">
        <v>767</v>
      </c>
      <c r="L303" t="str">
        <f t="shared" si="12"/>
        <v>37</v>
      </c>
      <c r="M303">
        <f t="shared" si="13"/>
        <v>0</v>
      </c>
      <c r="N303">
        <f t="shared" si="14"/>
        <v>0</v>
      </c>
    </row>
    <row r="304" spans="1:14">
      <c r="A304">
        <v>7930</v>
      </c>
      <c r="B304" t="s">
        <v>1089</v>
      </c>
      <c r="C304" t="s">
        <v>755</v>
      </c>
      <c r="D304" t="s">
        <v>788</v>
      </c>
      <c r="E304">
        <v>836630</v>
      </c>
      <c r="G304" s="2">
        <v>0.47013888888888888</v>
      </c>
      <c r="H304" s="2">
        <v>0.72986111111111107</v>
      </c>
      <c r="J304">
        <v>6.2298264110744901</v>
      </c>
      <c r="K304" t="s">
        <v>790</v>
      </c>
      <c r="L304" t="str">
        <f t="shared" si="12"/>
        <v>46</v>
      </c>
      <c r="M304">
        <f t="shared" si="13"/>
        <v>0</v>
      </c>
      <c r="N304">
        <f t="shared" si="14"/>
        <v>0</v>
      </c>
    </row>
    <row r="305" spans="1:14">
      <c r="A305">
        <v>7930</v>
      </c>
      <c r="B305" t="s">
        <v>1089</v>
      </c>
      <c r="C305" t="s">
        <v>755</v>
      </c>
      <c r="D305" t="s">
        <v>788</v>
      </c>
      <c r="E305">
        <v>836630</v>
      </c>
      <c r="G305" s="2">
        <v>0.72986111111111107</v>
      </c>
      <c r="H305" s="2">
        <v>0.83333333333333337</v>
      </c>
      <c r="J305">
        <v>2.48193619050828</v>
      </c>
      <c r="K305" t="s">
        <v>767</v>
      </c>
      <c r="L305" t="str">
        <f t="shared" si="12"/>
        <v>37</v>
      </c>
      <c r="M305">
        <f t="shared" si="13"/>
        <v>0</v>
      </c>
      <c r="N305">
        <f t="shared" si="14"/>
        <v>0</v>
      </c>
    </row>
    <row r="306" spans="1:14">
      <c r="A306">
        <v>7896</v>
      </c>
      <c r="B306" t="s">
        <v>1090</v>
      </c>
      <c r="C306" t="s">
        <v>755</v>
      </c>
      <c r="D306" t="s">
        <v>771</v>
      </c>
      <c r="E306">
        <v>535790</v>
      </c>
      <c r="G306" s="2">
        <v>6.5277777777777782E-2</v>
      </c>
      <c r="H306" s="2">
        <v>6.9444444444444434E-2</v>
      </c>
      <c r="J306">
        <v>9.4018080570102996E-2</v>
      </c>
      <c r="K306" t="s">
        <v>798</v>
      </c>
      <c r="L306" t="str">
        <f t="shared" si="12"/>
        <v>33</v>
      </c>
      <c r="M306">
        <f t="shared" si="13"/>
        <v>0</v>
      </c>
      <c r="N306">
        <f t="shared" si="14"/>
        <v>0</v>
      </c>
    </row>
    <row r="307" spans="1:14">
      <c r="A307">
        <v>7896</v>
      </c>
      <c r="B307" t="s">
        <v>1090</v>
      </c>
      <c r="C307" t="s">
        <v>755</v>
      </c>
      <c r="D307" t="s">
        <v>771</v>
      </c>
      <c r="E307">
        <v>535790</v>
      </c>
      <c r="G307" s="2">
        <v>6.9444444444444434E-2</v>
      </c>
      <c r="H307" s="2">
        <v>0.29305555555555557</v>
      </c>
      <c r="J307">
        <v>5.0456369905955301</v>
      </c>
      <c r="K307" t="s">
        <v>799</v>
      </c>
      <c r="L307" t="str">
        <f t="shared" si="12"/>
        <v>33</v>
      </c>
      <c r="M307">
        <f t="shared" si="13"/>
        <v>0</v>
      </c>
      <c r="N307">
        <f t="shared" si="14"/>
        <v>0</v>
      </c>
    </row>
    <row r="308" spans="1:14">
      <c r="A308">
        <v>7896</v>
      </c>
      <c r="B308" t="s">
        <v>1090</v>
      </c>
      <c r="C308" t="s">
        <v>755</v>
      </c>
      <c r="D308" t="s">
        <v>771</v>
      </c>
      <c r="E308">
        <v>535790</v>
      </c>
      <c r="G308" s="2">
        <v>0.29305555555555557</v>
      </c>
      <c r="H308" s="2">
        <v>0.3263888888888889</v>
      </c>
      <c r="J308">
        <v>0.75214464456082397</v>
      </c>
      <c r="K308" t="s">
        <v>833</v>
      </c>
      <c r="L308" t="str">
        <f t="shared" si="12"/>
        <v>33</v>
      </c>
      <c r="M308">
        <f t="shared" si="13"/>
        <v>0</v>
      </c>
      <c r="N308">
        <f t="shared" si="14"/>
        <v>0</v>
      </c>
    </row>
    <row r="309" spans="1:14">
      <c r="A309">
        <v>7896</v>
      </c>
      <c r="B309" t="s">
        <v>1090</v>
      </c>
      <c r="C309" t="s">
        <v>755</v>
      </c>
      <c r="D309" t="s">
        <v>771</v>
      </c>
      <c r="E309">
        <v>535790</v>
      </c>
      <c r="G309" s="2">
        <v>0.3263888888888889</v>
      </c>
      <c r="H309" s="2">
        <v>0.41666666666666669</v>
      </c>
      <c r="J309">
        <v>2.0370584123522302</v>
      </c>
      <c r="K309" t="s">
        <v>759</v>
      </c>
      <c r="L309" t="str">
        <f t="shared" si="12"/>
        <v>33</v>
      </c>
      <c r="M309">
        <f t="shared" si="13"/>
        <v>0</v>
      </c>
      <c r="N309">
        <f t="shared" si="14"/>
        <v>0</v>
      </c>
    </row>
    <row r="310" spans="1:14">
      <c r="A310">
        <v>7064</v>
      </c>
      <c r="B310" t="s">
        <v>1091</v>
      </c>
      <c r="C310" t="s">
        <v>754</v>
      </c>
      <c r="D310" t="s">
        <v>852</v>
      </c>
      <c r="E310">
        <v>18970</v>
      </c>
      <c r="G310" s="2">
        <v>3.8194444444444441E-2</v>
      </c>
      <c r="H310" s="2">
        <v>3.8194444444444441E-2</v>
      </c>
      <c r="I310" s="2">
        <v>0.45902777777777781</v>
      </c>
      <c r="J310">
        <v>10.1</v>
      </c>
      <c r="K310" t="s">
        <v>985</v>
      </c>
      <c r="L310" t="str">
        <f t="shared" si="12"/>
        <v>46</v>
      </c>
      <c r="M310">
        <f t="shared" si="13"/>
        <v>0.42083333333333339</v>
      </c>
      <c r="N310">
        <f t="shared" si="14"/>
        <v>10.100000000000001</v>
      </c>
    </row>
    <row r="311" spans="1:14">
      <c r="A311">
        <v>7637</v>
      </c>
      <c r="B311" t="s">
        <v>1191</v>
      </c>
      <c r="C311" t="s">
        <v>754</v>
      </c>
      <c r="D311" t="s">
        <v>841</v>
      </c>
      <c r="E311">
        <v>342317</v>
      </c>
      <c r="G311" s="2">
        <v>0.20972222222222223</v>
      </c>
      <c r="H311" s="2">
        <v>0.51666666666666672</v>
      </c>
      <c r="J311">
        <v>7.0052305143345501</v>
      </c>
      <c r="K311" t="s">
        <v>842</v>
      </c>
      <c r="L311" t="str">
        <f t="shared" si="12"/>
        <v>33</v>
      </c>
      <c r="M311">
        <f t="shared" si="13"/>
        <v>0</v>
      </c>
      <c r="N311">
        <f t="shared" si="14"/>
        <v>0</v>
      </c>
    </row>
    <row r="312" spans="1:14">
      <c r="A312">
        <v>7637</v>
      </c>
      <c r="B312" t="s">
        <v>1191</v>
      </c>
      <c r="C312" t="s">
        <v>754</v>
      </c>
      <c r="D312" t="s">
        <v>841</v>
      </c>
      <c r="E312">
        <v>342317</v>
      </c>
      <c r="G312" s="2">
        <v>0.51666666666666672</v>
      </c>
      <c r="H312" s="2">
        <v>0.52986111111111112</v>
      </c>
      <c r="J312">
        <v>0.30112981848949399</v>
      </c>
      <c r="K312" t="s">
        <v>1192</v>
      </c>
      <c r="L312" t="str">
        <f t="shared" si="12"/>
        <v>33</v>
      </c>
      <c r="M312">
        <f t="shared" si="13"/>
        <v>0</v>
      </c>
      <c r="N312">
        <f t="shared" si="14"/>
        <v>0</v>
      </c>
    </row>
    <row r="313" spans="1:14">
      <c r="A313">
        <v>7637</v>
      </c>
      <c r="B313" t="s">
        <v>1191</v>
      </c>
      <c r="C313" t="s">
        <v>754</v>
      </c>
      <c r="D313" t="s">
        <v>841</v>
      </c>
      <c r="E313">
        <v>342317</v>
      </c>
      <c r="G313" s="2">
        <v>0.52986111111111112</v>
      </c>
      <c r="H313" s="2">
        <v>0.625</v>
      </c>
      <c r="J313">
        <v>2.1713044806873998</v>
      </c>
      <c r="K313" t="s">
        <v>759</v>
      </c>
      <c r="L313" t="str">
        <f t="shared" si="12"/>
        <v>33</v>
      </c>
      <c r="M313">
        <f t="shared" si="13"/>
        <v>0</v>
      </c>
      <c r="N313">
        <f t="shared" si="14"/>
        <v>0</v>
      </c>
    </row>
    <row r="314" spans="1:14">
      <c r="A314">
        <v>7925</v>
      </c>
      <c r="B314" t="s">
        <v>1193</v>
      </c>
      <c r="C314" t="s">
        <v>755</v>
      </c>
      <c r="D314" t="s">
        <v>823</v>
      </c>
      <c r="E314">
        <v>836658</v>
      </c>
      <c r="G314" s="2">
        <v>0.64513888888888882</v>
      </c>
      <c r="H314" s="2">
        <v>0.74791666666666667</v>
      </c>
      <c r="J314">
        <v>2.3076923076923102</v>
      </c>
      <c r="K314" t="s">
        <v>815</v>
      </c>
      <c r="L314" t="str">
        <f t="shared" si="12"/>
        <v>46</v>
      </c>
      <c r="M314">
        <f t="shared" si="13"/>
        <v>0</v>
      </c>
      <c r="N314">
        <f t="shared" si="14"/>
        <v>0</v>
      </c>
    </row>
    <row r="315" spans="1:14">
      <c r="A315">
        <v>7925</v>
      </c>
      <c r="B315" t="s">
        <v>1193</v>
      </c>
      <c r="C315" t="s">
        <v>755</v>
      </c>
      <c r="D315" t="s">
        <v>823</v>
      </c>
      <c r="E315">
        <v>836658</v>
      </c>
      <c r="G315" s="2">
        <v>0.74791666666666667</v>
      </c>
      <c r="H315" s="2">
        <v>0.97916666666666663</v>
      </c>
      <c r="J315">
        <v>5.1923076923076898</v>
      </c>
      <c r="K315" t="s">
        <v>759</v>
      </c>
      <c r="L315" t="str">
        <f t="shared" si="12"/>
        <v>33</v>
      </c>
      <c r="M315">
        <f t="shared" si="13"/>
        <v>0</v>
      </c>
      <c r="N315">
        <f t="shared" si="14"/>
        <v>0</v>
      </c>
    </row>
    <row r="316" spans="1:14">
      <c r="A316">
        <v>4015</v>
      </c>
      <c r="B316" t="s">
        <v>1194</v>
      </c>
      <c r="C316" t="s">
        <v>756</v>
      </c>
      <c r="E316">
        <v>904103</v>
      </c>
      <c r="G316" s="2">
        <v>0.22569444444444445</v>
      </c>
      <c r="H316" s="2">
        <v>0.55347222222222225</v>
      </c>
      <c r="J316">
        <v>7.3792815622799699</v>
      </c>
      <c r="K316" t="s">
        <v>778</v>
      </c>
      <c r="L316" t="str">
        <f t="shared" si="12"/>
        <v>37</v>
      </c>
      <c r="M316">
        <f t="shared" si="13"/>
        <v>0</v>
      </c>
      <c r="N316">
        <f t="shared" si="14"/>
        <v>0</v>
      </c>
    </row>
    <row r="317" spans="1:14">
      <c r="A317">
        <v>8026</v>
      </c>
      <c r="B317" t="s">
        <v>1195</v>
      </c>
      <c r="C317" t="s">
        <v>754</v>
      </c>
      <c r="D317" t="s">
        <v>818</v>
      </c>
      <c r="E317">
        <v>549430</v>
      </c>
      <c r="G317" s="2">
        <v>6.7361111111111108E-2</v>
      </c>
      <c r="H317" s="2">
        <v>7.4305555555555555E-2</v>
      </c>
      <c r="J317">
        <v>0.15814067118968</v>
      </c>
      <c r="K317" t="s">
        <v>767</v>
      </c>
      <c r="L317" t="str">
        <f t="shared" si="12"/>
        <v>37</v>
      </c>
      <c r="M317">
        <f t="shared" si="13"/>
        <v>0</v>
      </c>
      <c r="N317">
        <f t="shared" si="14"/>
        <v>0</v>
      </c>
    </row>
    <row r="318" spans="1:14">
      <c r="A318">
        <v>8026</v>
      </c>
      <c r="B318" t="s">
        <v>1195</v>
      </c>
      <c r="C318" t="s">
        <v>754</v>
      </c>
      <c r="D318" t="s">
        <v>818</v>
      </c>
      <c r="E318">
        <v>549430</v>
      </c>
      <c r="G318" s="2">
        <v>7.4305555555555555E-2</v>
      </c>
      <c r="H318" s="2">
        <v>0.10833333333333334</v>
      </c>
      <c r="J318">
        <v>0.77488928882943398</v>
      </c>
      <c r="K318" t="s">
        <v>827</v>
      </c>
      <c r="L318" t="str">
        <f t="shared" si="12"/>
        <v>37</v>
      </c>
      <c r="M318">
        <f t="shared" si="13"/>
        <v>0</v>
      </c>
      <c r="N318">
        <f t="shared" si="14"/>
        <v>0</v>
      </c>
    </row>
    <row r="319" spans="1:14">
      <c r="A319">
        <v>8026</v>
      </c>
      <c r="B319" t="s">
        <v>1195</v>
      </c>
      <c r="C319" t="s">
        <v>754</v>
      </c>
      <c r="D319" t="s">
        <v>818</v>
      </c>
      <c r="E319">
        <v>549430</v>
      </c>
      <c r="G319" s="2">
        <v>0.10833333333333334</v>
      </c>
      <c r="H319" s="2">
        <v>0.17986111111111111</v>
      </c>
      <c r="J319">
        <v>1.6288489132537101</v>
      </c>
      <c r="K319" t="s">
        <v>1196</v>
      </c>
      <c r="L319" t="str">
        <f t="shared" si="12"/>
        <v>37</v>
      </c>
      <c r="M319">
        <f t="shared" si="13"/>
        <v>0</v>
      </c>
      <c r="N319">
        <f t="shared" si="14"/>
        <v>0</v>
      </c>
    </row>
    <row r="320" spans="1:14">
      <c r="A320">
        <v>8026</v>
      </c>
      <c r="B320" t="s">
        <v>1195</v>
      </c>
      <c r="C320" t="s">
        <v>754</v>
      </c>
      <c r="D320" t="s">
        <v>818</v>
      </c>
      <c r="E320">
        <v>549430</v>
      </c>
      <c r="G320" s="2">
        <v>0.17986111111111111</v>
      </c>
      <c r="H320" s="2">
        <v>0.22430555555555556</v>
      </c>
      <c r="J320">
        <v>1.01210029561395</v>
      </c>
      <c r="K320" t="s">
        <v>778</v>
      </c>
      <c r="L320" t="str">
        <f t="shared" si="12"/>
        <v>37</v>
      </c>
      <c r="M320">
        <f t="shared" si="13"/>
        <v>0</v>
      </c>
      <c r="N320">
        <f t="shared" si="14"/>
        <v>0</v>
      </c>
    </row>
    <row r="321" spans="1:14">
      <c r="A321">
        <v>8026</v>
      </c>
      <c r="B321" t="s">
        <v>1195</v>
      </c>
      <c r="C321" t="s">
        <v>754</v>
      </c>
      <c r="D321" t="s">
        <v>818</v>
      </c>
      <c r="E321">
        <v>549430</v>
      </c>
      <c r="G321" s="2">
        <v>0.22430555555555556</v>
      </c>
      <c r="H321" s="2">
        <v>0.25763888888888892</v>
      </c>
      <c r="J321">
        <v>0.75907522171046604</v>
      </c>
      <c r="K321" t="s">
        <v>1196</v>
      </c>
      <c r="L321" t="str">
        <f t="shared" si="12"/>
        <v>37</v>
      </c>
      <c r="M321">
        <f t="shared" si="13"/>
        <v>0</v>
      </c>
      <c r="N321">
        <f t="shared" si="14"/>
        <v>0</v>
      </c>
    </row>
    <row r="322" spans="1:14">
      <c r="A322">
        <v>8026</v>
      </c>
      <c r="B322" t="s">
        <v>1195</v>
      </c>
      <c r="C322" t="s">
        <v>754</v>
      </c>
      <c r="D322" t="s">
        <v>818</v>
      </c>
      <c r="E322">
        <v>549430</v>
      </c>
      <c r="G322" s="2">
        <v>0.25763888888888892</v>
      </c>
      <c r="H322" s="2">
        <v>0.47916666666666669</v>
      </c>
      <c r="J322">
        <v>5.04468741095081</v>
      </c>
      <c r="K322" t="s">
        <v>808</v>
      </c>
      <c r="L322" t="str">
        <f t="shared" ref="L322:L385" si="15">RIGHT(LEFT(K322,4),2)</f>
        <v>37</v>
      </c>
      <c r="M322">
        <f t="shared" ref="M322:M385" si="16">IF(I322=0,0,I322-H322)+IF(F322=0,0,G322-F322)</f>
        <v>0</v>
      </c>
      <c r="N322">
        <f t="shared" ref="N322:N385" si="17">(M322-INT(M322))*24</f>
        <v>0</v>
      </c>
    </row>
    <row r="323" spans="1:14">
      <c r="A323">
        <v>7610</v>
      </c>
      <c r="B323" t="s">
        <v>874</v>
      </c>
      <c r="C323" t="s">
        <v>754</v>
      </c>
      <c r="D323" t="s">
        <v>775</v>
      </c>
      <c r="E323">
        <v>163034</v>
      </c>
      <c r="G323" s="2">
        <v>0.3125</v>
      </c>
      <c r="H323" s="2">
        <v>0.5</v>
      </c>
      <c r="J323">
        <v>4.23529411764705</v>
      </c>
      <c r="K323" t="s">
        <v>875</v>
      </c>
      <c r="L323" t="str">
        <f t="shared" si="15"/>
        <v>37</v>
      </c>
      <c r="M323">
        <f t="shared" si="16"/>
        <v>0</v>
      </c>
      <c r="N323">
        <f t="shared" si="17"/>
        <v>0</v>
      </c>
    </row>
    <row r="324" spans="1:14">
      <c r="A324">
        <v>7610</v>
      </c>
      <c r="B324" t="s">
        <v>874</v>
      </c>
      <c r="C324" t="s">
        <v>754</v>
      </c>
      <c r="D324" t="s">
        <v>775</v>
      </c>
      <c r="E324">
        <v>163034</v>
      </c>
      <c r="G324" s="2">
        <v>0.5</v>
      </c>
      <c r="H324" s="2">
        <v>0.66666666666666663</v>
      </c>
      <c r="J324">
        <v>3.7647058823529398</v>
      </c>
      <c r="K324" t="s">
        <v>876</v>
      </c>
      <c r="L324" t="str">
        <f t="shared" si="15"/>
        <v>46</v>
      </c>
      <c r="M324">
        <f t="shared" si="16"/>
        <v>0</v>
      </c>
      <c r="N324">
        <f t="shared" si="17"/>
        <v>0</v>
      </c>
    </row>
    <row r="325" spans="1:14">
      <c r="A325">
        <v>7911</v>
      </c>
      <c r="B325" t="s">
        <v>1092</v>
      </c>
      <c r="C325" t="s">
        <v>755</v>
      </c>
      <c r="D325" t="s">
        <v>788</v>
      </c>
      <c r="E325">
        <v>538343</v>
      </c>
      <c r="G325" s="2">
        <v>0.4236111111111111</v>
      </c>
      <c r="H325" s="2">
        <v>0.47013888888888888</v>
      </c>
      <c r="J325">
        <v>1.11603606746262</v>
      </c>
      <c r="K325" t="s">
        <v>767</v>
      </c>
      <c r="L325" t="str">
        <f t="shared" si="15"/>
        <v>37</v>
      </c>
      <c r="M325">
        <f t="shared" si="16"/>
        <v>0</v>
      </c>
      <c r="N325">
        <f t="shared" si="17"/>
        <v>0</v>
      </c>
    </row>
    <row r="326" spans="1:14">
      <c r="A326">
        <v>7911</v>
      </c>
      <c r="B326" t="s">
        <v>1092</v>
      </c>
      <c r="C326" t="s">
        <v>755</v>
      </c>
      <c r="D326" t="s">
        <v>788</v>
      </c>
      <c r="E326">
        <v>538343</v>
      </c>
      <c r="G326" s="2">
        <v>0.47013888888888888</v>
      </c>
      <c r="H326" s="2">
        <v>0.53194444444444444</v>
      </c>
      <c r="J326">
        <v>1.48249567170407</v>
      </c>
      <c r="K326" t="s">
        <v>790</v>
      </c>
      <c r="L326" t="str">
        <f t="shared" si="15"/>
        <v>46</v>
      </c>
      <c r="M326">
        <f t="shared" si="16"/>
        <v>0</v>
      </c>
      <c r="N326">
        <f t="shared" si="17"/>
        <v>0</v>
      </c>
    </row>
    <row r="327" spans="1:14">
      <c r="A327">
        <v>7911</v>
      </c>
      <c r="B327" t="s">
        <v>1092</v>
      </c>
      <c r="C327" t="s">
        <v>755</v>
      </c>
      <c r="D327" t="s">
        <v>788</v>
      </c>
      <c r="E327">
        <v>538343</v>
      </c>
      <c r="G327" s="2">
        <v>0.53194444444444444</v>
      </c>
      <c r="H327" s="2">
        <v>0.6645833333333333</v>
      </c>
      <c r="J327">
        <v>3.1815356550053702</v>
      </c>
      <c r="K327" t="s">
        <v>831</v>
      </c>
      <c r="L327" t="str">
        <f t="shared" si="15"/>
        <v>33</v>
      </c>
      <c r="M327">
        <f t="shared" si="16"/>
        <v>0</v>
      </c>
      <c r="N327">
        <f t="shared" si="17"/>
        <v>0</v>
      </c>
    </row>
    <row r="328" spans="1:14">
      <c r="A328">
        <v>7911</v>
      </c>
      <c r="B328" t="s">
        <v>1092</v>
      </c>
      <c r="C328" t="s">
        <v>755</v>
      </c>
      <c r="D328" t="s">
        <v>788</v>
      </c>
      <c r="E328">
        <v>538343</v>
      </c>
      <c r="G328" s="2">
        <v>0.6645833333333333</v>
      </c>
      <c r="H328" s="2">
        <v>0.78680555555555554</v>
      </c>
      <c r="J328">
        <v>2.9316768339316499</v>
      </c>
      <c r="K328" t="s">
        <v>815</v>
      </c>
      <c r="L328" t="str">
        <f t="shared" si="15"/>
        <v>46</v>
      </c>
      <c r="M328">
        <f t="shared" si="16"/>
        <v>0</v>
      </c>
      <c r="N328">
        <f t="shared" si="17"/>
        <v>0</v>
      </c>
    </row>
    <row r="329" spans="1:14">
      <c r="A329">
        <v>7911</v>
      </c>
      <c r="B329" t="s">
        <v>1092</v>
      </c>
      <c r="C329" t="s">
        <v>755</v>
      </c>
      <c r="D329" t="s">
        <v>788</v>
      </c>
      <c r="E329">
        <v>538343</v>
      </c>
      <c r="G329" s="2">
        <v>0.78680555555555554</v>
      </c>
      <c r="H329" s="2">
        <v>0.80347222222222225</v>
      </c>
      <c r="J329">
        <v>0.39977411371795302</v>
      </c>
      <c r="K329" t="s">
        <v>778</v>
      </c>
      <c r="L329" t="str">
        <f t="shared" si="15"/>
        <v>37</v>
      </c>
      <c r="M329">
        <f t="shared" si="16"/>
        <v>0</v>
      </c>
      <c r="N329">
        <f t="shared" si="17"/>
        <v>0</v>
      </c>
    </row>
    <row r="330" spans="1:14">
      <c r="A330">
        <v>7911</v>
      </c>
      <c r="B330" t="s">
        <v>1092</v>
      </c>
      <c r="C330" t="s">
        <v>755</v>
      </c>
      <c r="D330" t="s">
        <v>788</v>
      </c>
      <c r="E330">
        <v>538343</v>
      </c>
      <c r="G330" s="2">
        <v>0.80347222222222225</v>
      </c>
      <c r="H330" s="2">
        <v>0.83333333333333337</v>
      </c>
      <c r="J330">
        <v>0.71626195374466595</v>
      </c>
      <c r="K330" t="s">
        <v>759</v>
      </c>
      <c r="L330" t="str">
        <f t="shared" si="15"/>
        <v>33</v>
      </c>
      <c r="M330">
        <f t="shared" si="16"/>
        <v>0</v>
      </c>
      <c r="N330">
        <f t="shared" si="17"/>
        <v>0</v>
      </c>
    </row>
    <row r="331" spans="1:14">
      <c r="A331">
        <v>7969</v>
      </c>
      <c r="B331" t="s">
        <v>1197</v>
      </c>
      <c r="C331" t="s">
        <v>755</v>
      </c>
      <c r="D331" t="s">
        <v>777</v>
      </c>
      <c r="E331">
        <v>902320</v>
      </c>
      <c r="G331" s="2">
        <v>0.21319444444444444</v>
      </c>
      <c r="H331" s="2">
        <v>0.3611111111111111</v>
      </c>
      <c r="J331">
        <v>3.3230168557412898</v>
      </c>
      <c r="K331" t="s">
        <v>870</v>
      </c>
      <c r="L331" t="str">
        <f t="shared" si="15"/>
        <v>37</v>
      </c>
      <c r="M331">
        <f t="shared" si="16"/>
        <v>0</v>
      </c>
      <c r="N331">
        <f t="shared" si="17"/>
        <v>0</v>
      </c>
    </row>
    <row r="332" spans="1:14">
      <c r="A332">
        <v>7969</v>
      </c>
      <c r="B332" t="s">
        <v>1197</v>
      </c>
      <c r="C332" t="s">
        <v>755</v>
      </c>
      <c r="D332" t="s">
        <v>777</v>
      </c>
      <c r="E332">
        <v>902320</v>
      </c>
      <c r="G332" s="2">
        <v>0.3611111111111111</v>
      </c>
      <c r="H332" s="2">
        <v>0.40972222222222227</v>
      </c>
      <c r="J332">
        <v>1.0920712671450299</v>
      </c>
      <c r="K332" t="s">
        <v>768</v>
      </c>
      <c r="L332" t="str">
        <f t="shared" si="15"/>
        <v>46</v>
      </c>
      <c r="M332">
        <f t="shared" si="16"/>
        <v>0</v>
      </c>
      <c r="N332">
        <f t="shared" si="17"/>
        <v>0</v>
      </c>
    </row>
    <row r="333" spans="1:14">
      <c r="A333">
        <v>7969</v>
      </c>
      <c r="B333" t="s">
        <v>1197</v>
      </c>
      <c r="C333" t="s">
        <v>755</v>
      </c>
      <c r="D333" t="s">
        <v>777</v>
      </c>
      <c r="E333">
        <v>902320</v>
      </c>
      <c r="G333" s="2">
        <v>0.40972222222222227</v>
      </c>
      <c r="H333" s="2">
        <v>0.4381944444444445</v>
      </c>
      <c r="J333">
        <v>0.63964174218494396</v>
      </c>
      <c r="K333" t="s">
        <v>767</v>
      </c>
      <c r="L333" t="str">
        <f t="shared" si="15"/>
        <v>37</v>
      </c>
      <c r="M333">
        <f t="shared" si="16"/>
        <v>0</v>
      </c>
      <c r="N333">
        <f t="shared" si="17"/>
        <v>0</v>
      </c>
    </row>
    <row r="334" spans="1:14">
      <c r="A334">
        <v>7969</v>
      </c>
      <c r="B334" t="s">
        <v>1197</v>
      </c>
      <c r="C334" t="s">
        <v>755</v>
      </c>
      <c r="D334" t="s">
        <v>777</v>
      </c>
      <c r="E334">
        <v>902320</v>
      </c>
      <c r="G334" s="2">
        <v>0.4381944444444445</v>
      </c>
      <c r="H334" s="2">
        <v>0.44791666666666669</v>
      </c>
      <c r="J334">
        <v>0.218414253429005</v>
      </c>
      <c r="K334" t="s">
        <v>768</v>
      </c>
      <c r="L334" t="str">
        <f t="shared" si="15"/>
        <v>46</v>
      </c>
      <c r="M334">
        <f t="shared" si="16"/>
        <v>0</v>
      </c>
      <c r="N334">
        <f t="shared" si="17"/>
        <v>0</v>
      </c>
    </row>
    <row r="335" spans="1:14">
      <c r="A335">
        <v>7969</v>
      </c>
      <c r="B335" t="s">
        <v>1197</v>
      </c>
      <c r="C335" t="s">
        <v>755</v>
      </c>
      <c r="D335" t="s">
        <v>777</v>
      </c>
      <c r="E335">
        <v>902320</v>
      </c>
      <c r="G335" s="2">
        <v>0.44791666666666669</v>
      </c>
      <c r="H335" s="2">
        <v>0.50347222222222221</v>
      </c>
      <c r="J335">
        <v>1.2480814481657401</v>
      </c>
      <c r="K335" t="s">
        <v>767</v>
      </c>
      <c r="L335" t="str">
        <f t="shared" si="15"/>
        <v>37</v>
      </c>
      <c r="M335">
        <f t="shared" si="16"/>
        <v>0</v>
      </c>
      <c r="N335">
        <f t="shared" si="17"/>
        <v>0</v>
      </c>
    </row>
    <row r="336" spans="1:14">
      <c r="A336">
        <v>7969</v>
      </c>
      <c r="B336" t="s">
        <v>1197</v>
      </c>
      <c r="C336" t="s">
        <v>755</v>
      </c>
      <c r="D336" t="s">
        <v>777</v>
      </c>
      <c r="E336">
        <v>902320</v>
      </c>
      <c r="G336" s="2">
        <v>0.50347222222222221</v>
      </c>
      <c r="H336" s="2">
        <v>0.50763888888888886</v>
      </c>
      <c r="J336">
        <v>9.3606108612430905E-2</v>
      </c>
      <c r="K336" t="s">
        <v>827</v>
      </c>
      <c r="L336" t="str">
        <f t="shared" si="15"/>
        <v>37</v>
      </c>
      <c r="M336">
        <f t="shared" si="16"/>
        <v>0</v>
      </c>
      <c r="N336">
        <f t="shared" si="17"/>
        <v>0</v>
      </c>
    </row>
    <row r="337" spans="1:14">
      <c r="A337">
        <v>7969</v>
      </c>
      <c r="B337" t="s">
        <v>1197</v>
      </c>
      <c r="C337" t="s">
        <v>755</v>
      </c>
      <c r="D337" t="s">
        <v>777</v>
      </c>
      <c r="E337">
        <v>902320</v>
      </c>
      <c r="G337" s="2">
        <v>0.50763888888888886</v>
      </c>
      <c r="H337" s="2">
        <v>0.53541666666666665</v>
      </c>
      <c r="J337">
        <v>0.62404072408287303</v>
      </c>
      <c r="K337" t="s">
        <v>767</v>
      </c>
      <c r="L337" t="str">
        <f t="shared" si="15"/>
        <v>37</v>
      </c>
      <c r="M337">
        <f t="shared" si="16"/>
        <v>0</v>
      </c>
      <c r="N337">
        <f t="shared" si="17"/>
        <v>0</v>
      </c>
    </row>
    <row r="338" spans="1:14">
      <c r="A338">
        <v>7969</v>
      </c>
      <c r="B338" t="s">
        <v>1197</v>
      </c>
      <c r="C338" t="s">
        <v>755</v>
      </c>
      <c r="D338" t="s">
        <v>777</v>
      </c>
      <c r="E338">
        <v>902320</v>
      </c>
      <c r="G338" s="2">
        <v>0.53541666666666665</v>
      </c>
      <c r="H338" s="2">
        <v>0.54166666666666663</v>
      </c>
      <c r="J338">
        <v>0.140409162918646</v>
      </c>
      <c r="K338" t="s">
        <v>764</v>
      </c>
      <c r="L338" t="str">
        <f t="shared" si="15"/>
        <v>33</v>
      </c>
      <c r="M338">
        <f t="shared" si="16"/>
        <v>0</v>
      </c>
      <c r="N338">
        <f t="shared" si="17"/>
        <v>0</v>
      </c>
    </row>
    <row r="339" spans="1:14">
      <c r="A339">
        <v>7955</v>
      </c>
      <c r="B339" t="s">
        <v>878</v>
      </c>
      <c r="C339" t="s">
        <v>756</v>
      </c>
      <c r="E339">
        <v>838535</v>
      </c>
      <c r="G339" s="2">
        <v>0.63402777777777775</v>
      </c>
      <c r="H339" s="2">
        <v>0.78333333333333333</v>
      </c>
      <c r="J339">
        <v>3.3518005617808</v>
      </c>
      <c r="K339" t="s">
        <v>870</v>
      </c>
      <c r="L339" t="str">
        <f t="shared" si="15"/>
        <v>37</v>
      </c>
      <c r="M339">
        <f t="shared" si="16"/>
        <v>0</v>
      </c>
      <c r="N339">
        <f t="shared" si="17"/>
        <v>0</v>
      </c>
    </row>
    <row r="340" spans="1:14">
      <c r="A340">
        <v>7955</v>
      </c>
      <c r="B340" t="s">
        <v>878</v>
      </c>
      <c r="C340" t="s">
        <v>756</v>
      </c>
      <c r="E340">
        <v>838535</v>
      </c>
      <c r="G340" s="2">
        <v>0.78333333333333333</v>
      </c>
      <c r="H340" s="2">
        <v>0.87916666666666676</v>
      </c>
      <c r="J340">
        <v>2.15138826756163</v>
      </c>
      <c r="K340" t="s">
        <v>778</v>
      </c>
      <c r="L340" t="str">
        <f t="shared" si="15"/>
        <v>37</v>
      </c>
      <c r="M340">
        <f t="shared" si="16"/>
        <v>0</v>
      </c>
      <c r="N340">
        <f t="shared" si="17"/>
        <v>0</v>
      </c>
    </row>
    <row r="341" spans="1:14">
      <c r="A341">
        <v>7955</v>
      </c>
      <c r="B341" t="s">
        <v>878</v>
      </c>
      <c r="C341" t="s">
        <v>756</v>
      </c>
      <c r="E341">
        <v>838535</v>
      </c>
      <c r="G341" s="2">
        <v>0.87916666666666676</v>
      </c>
      <c r="H341" s="2">
        <v>0.89861111111111114</v>
      </c>
      <c r="J341">
        <v>0.43651356153424398</v>
      </c>
      <c r="K341" t="s">
        <v>759</v>
      </c>
      <c r="L341" t="str">
        <f t="shared" si="15"/>
        <v>33</v>
      </c>
      <c r="M341">
        <f t="shared" si="16"/>
        <v>0</v>
      </c>
      <c r="N341">
        <f t="shared" si="17"/>
        <v>0</v>
      </c>
    </row>
    <row r="342" spans="1:14">
      <c r="A342">
        <v>7955</v>
      </c>
      <c r="B342" t="s">
        <v>878</v>
      </c>
      <c r="C342" t="s">
        <v>756</v>
      </c>
      <c r="E342">
        <v>838535</v>
      </c>
      <c r="G342" s="2">
        <v>0.89861111111111114</v>
      </c>
      <c r="H342" s="2">
        <v>0.90277777777777779</v>
      </c>
      <c r="J342">
        <v>9.35386203287666E-2</v>
      </c>
      <c r="K342" t="s">
        <v>798</v>
      </c>
      <c r="L342" t="str">
        <f t="shared" si="15"/>
        <v>33</v>
      </c>
      <c r="M342">
        <f t="shared" si="16"/>
        <v>0</v>
      </c>
      <c r="N342">
        <f t="shared" si="17"/>
        <v>0</v>
      </c>
    </row>
    <row r="343" spans="1:14">
      <c r="A343">
        <v>7955</v>
      </c>
      <c r="B343" t="s">
        <v>878</v>
      </c>
      <c r="C343" t="s">
        <v>756</v>
      </c>
      <c r="E343">
        <v>838535</v>
      </c>
      <c r="G343" s="2">
        <v>0.90277777777777779</v>
      </c>
      <c r="H343" s="2">
        <v>0.9590277777777777</v>
      </c>
      <c r="J343">
        <v>1.26277137443835</v>
      </c>
      <c r="K343" t="s">
        <v>827</v>
      </c>
      <c r="L343" t="str">
        <f t="shared" si="15"/>
        <v>37</v>
      </c>
      <c r="M343">
        <f t="shared" si="16"/>
        <v>0</v>
      </c>
      <c r="N343">
        <f t="shared" si="17"/>
        <v>0</v>
      </c>
    </row>
    <row r="344" spans="1:14">
      <c r="A344">
        <v>4076</v>
      </c>
      <c r="B344" t="s">
        <v>1198</v>
      </c>
      <c r="C344" t="s">
        <v>756</v>
      </c>
      <c r="E344">
        <v>908770</v>
      </c>
      <c r="G344" s="2">
        <v>0.45763888888888887</v>
      </c>
      <c r="H344" s="2">
        <v>0.70833333333333337</v>
      </c>
      <c r="J344">
        <v>6</v>
      </c>
      <c r="K344" t="s">
        <v>1199</v>
      </c>
      <c r="L344" t="str">
        <f t="shared" si="15"/>
        <v>46</v>
      </c>
      <c r="M344">
        <f t="shared" si="16"/>
        <v>0</v>
      </c>
      <c r="N344">
        <f t="shared" si="17"/>
        <v>0</v>
      </c>
    </row>
    <row r="345" spans="1:14">
      <c r="A345">
        <v>4208</v>
      </c>
      <c r="B345" t="s">
        <v>1200</v>
      </c>
      <c r="C345" t="s">
        <v>756</v>
      </c>
      <c r="E345">
        <v>4208</v>
      </c>
      <c r="G345" s="2">
        <v>0.60138888888888886</v>
      </c>
      <c r="H345" s="2">
        <v>0.62916666666666665</v>
      </c>
      <c r="J345">
        <v>0.666405117270781</v>
      </c>
      <c r="K345" t="s">
        <v>1070</v>
      </c>
      <c r="L345" t="str">
        <f t="shared" si="15"/>
        <v>33</v>
      </c>
      <c r="M345">
        <f t="shared" si="16"/>
        <v>0</v>
      </c>
      <c r="N345">
        <f t="shared" si="17"/>
        <v>0</v>
      </c>
    </row>
    <row r="346" spans="1:14">
      <c r="A346">
        <v>4208</v>
      </c>
      <c r="B346" t="s">
        <v>1200</v>
      </c>
      <c r="C346" t="s">
        <v>756</v>
      </c>
      <c r="E346">
        <v>4208</v>
      </c>
      <c r="G346" s="2">
        <v>0.62916666666666665</v>
      </c>
      <c r="H346" s="2">
        <v>0.8340277777777777</v>
      </c>
      <c r="J346">
        <v>4.9147377398720096</v>
      </c>
      <c r="K346" t="s">
        <v>759</v>
      </c>
      <c r="L346" t="str">
        <f t="shared" si="15"/>
        <v>33</v>
      </c>
      <c r="M346">
        <f t="shared" si="16"/>
        <v>0</v>
      </c>
      <c r="N346">
        <f t="shared" si="17"/>
        <v>0</v>
      </c>
    </row>
    <row r="347" spans="1:14">
      <c r="A347">
        <v>7259</v>
      </c>
      <c r="B347" t="s">
        <v>1093</v>
      </c>
      <c r="C347" t="s">
        <v>754</v>
      </c>
      <c r="D347" t="s">
        <v>830</v>
      </c>
      <c r="E347">
        <v>216146</v>
      </c>
      <c r="G347" s="2">
        <v>0.50208333333333333</v>
      </c>
      <c r="H347" s="2">
        <v>0.89583333333333337</v>
      </c>
      <c r="J347">
        <v>9.4447420830399693</v>
      </c>
      <c r="K347" t="s">
        <v>889</v>
      </c>
      <c r="L347" t="str">
        <f t="shared" si="15"/>
        <v>33</v>
      </c>
      <c r="M347">
        <f t="shared" si="16"/>
        <v>0</v>
      </c>
      <c r="N347">
        <f t="shared" si="17"/>
        <v>0</v>
      </c>
    </row>
    <row r="348" spans="1:14">
      <c r="A348">
        <v>7728</v>
      </c>
      <c r="B348" t="s">
        <v>879</v>
      </c>
      <c r="C348" t="s">
        <v>755</v>
      </c>
      <c r="D348" t="s">
        <v>818</v>
      </c>
      <c r="E348">
        <v>356147</v>
      </c>
      <c r="G348" s="2">
        <v>0.29097222222222224</v>
      </c>
      <c r="H348" s="2">
        <v>0.5083333333333333</v>
      </c>
      <c r="J348">
        <v>4.8804573804573801</v>
      </c>
      <c r="K348" t="s">
        <v>819</v>
      </c>
      <c r="L348" t="str">
        <f t="shared" si="15"/>
        <v>33</v>
      </c>
      <c r="M348">
        <f t="shared" si="16"/>
        <v>0</v>
      </c>
      <c r="N348">
        <f t="shared" si="17"/>
        <v>0</v>
      </c>
    </row>
    <row r="349" spans="1:14">
      <c r="A349">
        <v>7728</v>
      </c>
      <c r="B349" t="s">
        <v>879</v>
      </c>
      <c r="C349" t="s">
        <v>755</v>
      </c>
      <c r="D349" t="s">
        <v>818</v>
      </c>
      <c r="E349">
        <v>356147</v>
      </c>
      <c r="G349" s="2">
        <v>0.5083333333333333</v>
      </c>
      <c r="H349" s="2">
        <v>0.625</v>
      </c>
      <c r="J349">
        <v>2.6195426195426199</v>
      </c>
      <c r="K349" t="s">
        <v>759</v>
      </c>
      <c r="L349" t="str">
        <f t="shared" si="15"/>
        <v>33</v>
      </c>
      <c r="M349">
        <f t="shared" si="16"/>
        <v>0</v>
      </c>
      <c r="N349">
        <f t="shared" si="17"/>
        <v>0</v>
      </c>
    </row>
    <row r="350" spans="1:14">
      <c r="A350">
        <v>7143</v>
      </c>
      <c r="B350" t="s">
        <v>1094</v>
      </c>
      <c r="C350" t="s">
        <v>755</v>
      </c>
      <c r="D350">
        <v>65</v>
      </c>
      <c r="E350">
        <v>30254</v>
      </c>
      <c r="G350" s="2">
        <v>0.30138888888888887</v>
      </c>
      <c r="H350" s="2">
        <v>0.47847222222222219</v>
      </c>
      <c r="J350">
        <v>3.9098963118586201</v>
      </c>
      <c r="K350" t="s">
        <v>829</v>
      </c>
      <c r="L350" t="str">
        <f t="shared" si="15"/>
        <v>65</v>
      </c>
      <c r="M350">
        <f t="shared" si="16"/>
        <v>0</v>
      </c>
      <c r="N350">
        <f t="shared" si="17"/>
        <v>0</v>
      </c>
    </row>
    <row r="351" spans="1:14">
      <c r="A351">
        <v>7143</v>
      </c>
      <c r="B351" t="s">
        <v>1094</v>
      </c>
      <c r="C351" t="s">
        <v>755</v>
      </c>
      <c r="D351">
        <v>65</v>
      </c>
      <c r="E351">
        <v>30254</v>
      </c>
      <c r="G351" s="2">
        <v>0.47847222222222219</v>
      </c>
      <c r="H351" s="2">
        <v>0.56319444444444444</v>
      </c>
      <c r="J351">
        <v>1.87061705900687</v>
      </c>
      <c r="K351" t="s">
        <v>763</v>
      </c>
      <c r="L351" t="str">
        <f t="shared" si="15"/>
        <v>33</v>
      </c>
      <c r="M351">
        <f t="shared" si="16"/>
        <v>0</v>
      </c>
      <c r="N351">
        <f t="shared" si="17"/>
        <v>0</v>
      </c>
    </row>
    <row r="352" spans="1:14">
      <c r="A352">
        <v>7438</v>
      </c>
      <c r="B352" t="s">
        <v>1095</v>
      </c>
      <c r="C352" t="s">
        <v>755</v>
      </c>
      <c r="D352" t="s">
        <v>893</v>
      </c>
      <c r="E352">
        <v>49580</v>
      </c>
      <c r="G352" s="2">
        <v>0.51875000000000004</v>
      </c>
      <c r="H352" s="2">
        <v>0.63958333333333328</v>
      </c>
      <c r="J352">
        <v>2.89841382342988</v>
      </c>
      <c r="K352" t="s">
        <v>815</v>
      </c>
      <c r="L352" t="str">
        <f t="shared" si="15"/>
        <v>46</v>
      </c>
      <c r="M352">
        <f t="shared" si="16"/>
        <v>0</v>
      </c>
      <c r="N352">
        <f t="shared" si="17"/>
        <v>0</v>
      </c>
    </row>
    <row r="353" spans="1:14">
      <c r="A353">
        <v>7438</v>
      </c>
      <c r="B353" t="s">
        <v>1095</v>
      </c>
      <c r="C353" t="s">
        <v>755</v>
      </c>
      <c r="D353" t="s">
        <v>893</v>
      </c>
      <c r="E353">
        <v>49580</v>
      </c>
      <c r="G353" s="2">
        <v>0.63958333333333328</v>
      </c>
      <c r="H353" s="2">
        <v>0.89583333333333337</v>
      </c>
      <c r="J353">
        <v>6.1466362117564604</v>
      </c>
      <c r="K353" t="s">
        <v>780</v>
      </c>
      <c r="L353" t="str">
        <f t="shared" si="15"/>
        <v>46</v>
      </c>
      <c r="M353">
        <f t="shared" si="16"/>
        <v>0</v>
      </c>
      <c r="N353">
        <f t="shared" si="17"/>
        <v>0</v>
      </c>
    </row>
    <row r="354" spans="1:14">
      <c r="A354">
        <v>7541</v>
      </c>
      <c r="B354" t="s">
        <v>1201</v>
      </c>
      <c r="C354" t="s">
        <v>755</v>
      </c>
      <c r="D354" t="s">
        <v>1202</v>
      </c>
      <c r="E354">
        <v>333649</v>
      </c>
      <c r="G354" s="2">
        <v>0.22361111111111109</v>
      </c>
      <c r="H354" s="2">
        <v>0.26458333333333334</v>
      </c>
      <c r="J354">
        <v>0.92416481253225102</v>
      </c>
      <c r="K354" t="s">
        <v>773</v>
      </c>
      <c r="L354" t="str">
        <f t="shared" si="15"/>
        <v>33</v>
      </c>
      <c r="M354">
        <f t="shared" si="16"/>
        <v>0</v>
      </c>
      <c r="N354">
        <f t="shared" si="17"/>
        <v>0</v>
      </c>
    </row>
    <row r="355" spans="1:14">
      <c r="A355">
        <v>7541</v>
      </c>
      <c r="B355" t="s">
        <v>1201</v>
      </c>
      <c r="C355" t="s">
        <v>755</v>
      </c>
      <c r="D355" t="s">
        <v>1202</v>
      </c>
      <c r="E355">
        <v>333649</v>
      </c>
      <c r="G355" s="2">
        <v>0.26458333333333334</v>
      </c>
      <c r="H355" s="2">
        <v>0.38472222222222219</v>
      </c>
      <c r="J355">
        <v>2.7098391960691401</v>
      </c>
      <c r="K355" t="s">
        <v>763</v>
      </c>
      <c r="L355" t="str">
        <f t="shared" si="15"/>
        <v>33</v>
      </c>
      <c r="M355">
        <f t="shared" si="16"/>
        <v>0</v>
      </c>
      <c r="N355">
        <f t="shared" si="17"/>
        <v>0</v>
      </c>
    </row>
    <row r="356" spans="1:14">
      <c r="A356">
        <v>7541</v>
      </c>
      <c r="B356" t="s">
        <v>1201</v>
      </c>
      <c r="C356" t="s">
        <v>755</v>
      </c>
      <c r="D356" t="s">
        <v>1202</v>
      </c>
      <c r="E356">
        <v>333649</v>
      </c>
      <c r="G356" s="2">
        <v>0.38472222222222219</v>
      </c>
      <c r="H356" s="2">
        <v>0.57291666666666663</v>
      </c>
      <c r="J356">
        <v>4.2448926134955904</v>
      </c>
      <c r="K356" t="s">
        <v>784</v>
      </c>
      <c r="L356" t="str">
        <f t="shared" si="15"/>
        <v>33</v>
      </c>
      <c r="M356">
        <f t="shared" si="16"/>
        <v>0</v>
      </c>
      <c r="N356">
        <f t="shared" si="17"/>
        <v>0</v>
      </c>
    </row>
    <row r="357" spans="1:14">
      <c r="A357">
        <v>7072</v>
      </c>
      <c r="B357" t="s">
        <v>880</v>
      </c>
      <c r="C357" t="s">
        <v>754</v>
      </c>
      <c r="D357" t="s">
        <v>795</v>
      </c>
      <c r="E357">
        <v>25943</v>
      </c>
      <c r="G357" s="2">
        <v>0.83888888888888891</v>
      </c>
      <c r="H357" s="2">
        <v>0.22916666666666666</v>
      </c>
      <c r="J357">
        <v>9.3781267417310303</v>
      </c>
      <c r="K357" t="s">
        <v>964</v>
      </c>
      <c r="L357" t="str">
        <f t="shared" si="15"/>
        <v>37</v>
      </c>
      <c r="M357">
        <f t="shared" si="16"/>
        <v>0</v>
      </c>
      <c r="N357">
        <f t="shared" si="17"/>
        <v>0</v>
      </c>
    </row>
    <row r="358" spans="1:14">
      <c r="A358">
        <v>7961</v>
      </c>
      <c r="B358" t="s">
        <v>881</v>
      </c>
      <c r="C358" t="s">
        <v>755</v>
      </c>
      <c r="D358" t="s">
        <v>823</v>
      </c>
      <c r="E358">
        <v>838948</v>
      </c>
      <c r="G358" s="2">
        <v>0.64583333333333337</v>
      </c>
      <c r="H358" s="2">
        <v>0.85624999999999996</v>
      </c>
      <c r="J358">
        <v>4.734375</v>
      </c>
      <c r="K358" t="s">
        <v>778</v>
      </c>
      <c r="L358" t="str">
        <f t="shared" si="15"/>
        <v>37</v>
      </c>
      <c r="M358">
        <f t="shared" si="16"/>
        <v>0</v>
      </c>
      <c r="N358">
        <f t="shared" si="17"/>
        <v>0</v>
      </c>
    </row>
    <row r="359" spans="1:14">
      <c r="A359">
        <v>7961</v>
      </c>
      <c r="B359" t="s">
        <v>881</v>
      </c>
      <c r="C359" t="s">
        <v>755</v>
      </c>
      <c r="D359" t="s">
        <v>823</v>
      </c>
      <c r="E359">
        <v>838948</v>
      </c>
      <c r="G359" s="2">
        <v>0.85624999999999996</v>
      </c>
      <c r="H359" s="2">
        <v>0.89236111111111116</v>
      </c>
      <c r="J359">
        <v>0.812499999999999</v>
      </c>
      <c r="K359" t="s">
        <v>759</v>
      </c>
      <c r="L359" t="str">
        <f t="shared" si="15"/>
        <v>33</v>
      </c>
      <c r="M359">
        <f t="shared" si="16"/>
        <v>0</v>
      </c>
      <c r="N359">
        <f t="shared" si="17"/>
        <v>0</v>
      </c>
    </row>
    <row r="360" spans="1:14">
      <c r="A360">
        <v>7961</v>
      </c>
      <c r="B360" t="s">
        <v>881</v>
      </c>
      <c r="C360" t="s">
        <v>755</v>
      </c>
      <c r="D360" t="s">
        <v>823</v>
      </c>
      <c r="E360">
        <v>838948</v>
      </c>
      <c r="G360" s="2">
        <v>0.89236111111111116</v>
      </c>
      <c r="H360" s="2">
        <v>0.89375000000000004</v>
      </c>
      <c r="J360">
        <v>3.1249999999999899E-2</v>
      </c>
      <c r="K360" t="s">
        <v>798</v>
      </c>
      <c r="L360" t="str">
        <f t="shared" si="15"/>
        <v>33</v>
      </c>
      <c r="M360">
        <f t="shared" si="16"/>
        <v>0</v>
      </c>
      <c r="N360">
        <f t="shared" si="17"/>
        <v>0</v>
      </c>
    </row>
    <row r="361" spans="1:14">
      <c r="A361">
        <v>7961</v>
      </c>
      <c r="B361" t="s">
        <v>881</v>
      </c>
      <c r="C361" t="s">
        <v>755</v>
      </c>
      <c r="D361" t="s">
        <v>823</v>
      </c>
      <c r="E361">
        <v>838948</v>
      </c>
      <c r="G361" s="2">
        <v>0.89375000000000004</v>
      </c>
      <c r="H361" s="2">
        <v>0.97916666666666663</v>
      </c>
      <c r="J361">
        <v>1.921875</v>
      </c>
      <c r="K361" t="s">
        <v>799</v>
      </c>
      <c r="L361" t="str">
        <f t="shared" si="15"/>
        <v>33</v>
      </c>
      <c r="M361">
        <f t="shared" si="16"/>
        <v>0</v>
      </c>
      <c r="N361">
        <f t="shared" si="17"/>
        <v>0</v>
      </c>
    </row>
    <row r="362" spans="1:14">
      <c r="A362">
        <v>5367</v>
      </c>
      <c r="B362" t="s">
        <v>1096</v>
      </c>
      <c r="C362" t="s">
        <v>1073</v>
      </c>
      <c r="E362">
        <v>5367</v>
      </c>
      <c r="G362" s="2">
        <v>0.21875</v>
      </c>
      <c r="H362" s="2">
        <v>0.46875</v>
      </c>
      <c r="J362">
        <v>6</v>
      </c>
      <c r="K362" t="s">
        <v>759</v>
      </c>
      <c r="L362" t="str">
        <f t="shared" si="15"/>
        <v>33</v>
      </c>
      <c r="M362">
        <f t="shared" si="16"/>
        <v>0</v>
      </c>
      <c r="N362">
        <f t="shared" si="17"/>
        <v>0</v>
      </c>
    </row>
    <row r="363" spans="1:14">
      <c r="A363">
        <v>4202</v>
      </c>
      <c r="B363" t="s">
        <v>1203</v>
      </c>
      <c r="C363" t="s">
        <v>756</v>
      </c>
      <c r="E363">
        <v>936752</v>
      </c>
      <c r="G363" s="2">
        <v>0.56736111111111109</v>
      </c>
      <c r="H363" s="2">
        <v>0.60555555555555551</v>
      </c>
      <c r="J363">
        <v>0.85805599561394896</v>
      </c>
      <c r="K363" t="s">
        <v>759</v>
      </c>
      <c r="L363" t="str">
        <f t="shared" si="15"/>
        <v>33</v>
      </c>
      <c r="M363">
        <f t="shared" si="16"/>
        <v>0</v>
      </c>
      <c r="N363">
        <f t="shared" si="17"/>
        <v>0</v>
      </c>
    </row>
    <row r="364" spans="1:14">
      <c r="A364">
        <v>4202</v>
      </c>
      <c r="B364" t="s">
        <v>1203</v>
      </c>
      <c r="C364" t="s">
        <v>756</v>
      </c>
      <c r="E364">
        <v>936752</v>
      </c>
      <c r="G364" s="2">
        <v>0.60555555555555551</v>
      </c>
      <c r="H364" s="2">
        <v>0.78194444444444444</v>
      </c>
      <c r="J364">
        <v>3.9626585979262399</v>
      </c>
      <c r="K364" t="s">
        <v>773</v>
      </c>
      <c r="L364" t="str">
        <f t="shared" si="15"/>
        <v>33</v>
      </c>
      <c r="M364">
        <f t="shared" si="16"/>
        <v>0</v>
      </c>
      <c r="N364">
        <f t="shared" si="17"/>
        <v>0</v>
      </c>
    </row>
    <row r="365" spans="1:14">
      <c r="A365">
        <v>4202</v>
      </c>
      <c r="B365" t="s">
        <v>1203</v>
      </c>
      <c r="C365" t="s">
        <v>756</v>
      </c>
      <c r="E365">
        <v>936752</v>
      </c>
      <c r="G365" s="2">
        <v>0.78194444444444444</v>
      </c>
      <c r="H365" s="2">
        <v>0.89583333333333337</v>
      </c>
      <c r="J365">
        <v>2.5585669687397701</v>
      </c>
      <c r="K365" t="s">
        <v>759</v>
      </c>
      <c r="L365" t="str">
        <f t="shared" si="15"/>
        <v>33</v>
      </c>
      <c r="M365">
        <f t="shared" si="16"/>
        <v>0</v>
      </c>
      <c r="N365">
        <f t="shared" si="17"/>
        <v>0</v>
      </c>
    </row>
    <row r="366" spans="1:14">
      <c r="A366">
        <v>7702</v>
      </c>
      <c r="B366" t="s">
        <v>882</v>
      </c>
      <c r="C366" t="s">
        <v>754</v>
      </c>
      <c r="D366" t="s">
        <v>883</v>
      </c>
      <c r="E366">
        <v>222316</v>
      </c>
      <c r="G366" s="2">
        <v>0.37638888888888888</v>
      </c>
      <c r="H366" s="2">
        <v>0.4597222222222222</v>
      </c>
      <c r="J366">
        <v>1.87762457930796</v>
      </c>
      <c r="K366" t="s">
        <v>768</v>
      </c>
      <c r="L366" t="str">
        <f t="shared" si="15"/>
        <v>46</v>
      </c>
      <c r="M366">
        <f t="shared" si="16"/>
        <v>0</v>
      </c>
      <c r="N366">
        <f t="shared" si="17"/>
        <v>0</v>
      </c>
    </row>
    <row r="367" spans="1:14">
      <c r="A367">
        <v>7702</v>
      </c>
      <c r="B367" t="s">
        <v>882</v>
      </c>
      <c r="C367" t="s">
        <v>754</v>
      </c>
      <c r="D367" t="s">
        <v>883</v>
      </c>
      <c r="E367">
        <v>222316</v>
      </c>
      <c r="G367" s="2">
        <v>0.4597222222222222</v>
      </c>
      <c r="H367" s="2">
        <v>0.61944444444444446</v>
      </c>
      <c r="J367">
        <v>3.5987804436735802</v>
      </c>
      <c r="K367" t="s">
        <v>790</v>
      </c>
      <c r="L367" t="str">
        <f t="shared" si="15"/>
        <v>46</v>
      </c>
      <c r="M367">
        <f t="shared" si="16"/>
        <v>0</v>
      </c>
      <c r="N367">
        <f t="shared" si="17"/>
        <v>0</v>
      </c>
    </row>
    <row r="368" spans="1:14">
      <c r="A368">
        <v>7702</v>
      </c>
      <c r="B368" t="s">
        <v>882</v>
      </c>
      <c r="C368" t="s">
        <v>754</v>
      </c>
      <c r="D368" t="s">
        <v>883</v>
      </c>
      <c r="E368">
        <v>222316</v>
      </c>
      <c r="F368">
        <v>0.70833333333333337</v>
      </c>
      <c r="G368" s="2">
        <v>0.61944444444444446</v>
      </c>
      <c r="H368" s="2">
        <v>0.70833333333333337</v>
      </c>
      <c r="I368" s="2">
        <v>0.79166666666666663</v>
      </c>
      <c r="J368">
        <v>2</v>
      </c>
      <c r="K368" t="s">
        <v>778</v>
      </c>
      <c r="L368" t="str">
        <f t="shared" si="15"/>
        <v>37</v>
      </c>
      <c r="M368">
        <f t="shared" si="16"/>
        <v>-5.5555555555556468E-3</v>
      </c>
      <c r="N368">
        <f t="shared" si="17"/>
        <v>23.866666666666664</v>
      </c>
    </row>
    <row r="369" spans="1:14">
      <c r="A369">
        <v>8060</v>
      </c>
      <c r="B369" t="s">
        <v>885</v>
      </c>
      <c r="C369" t="s">
        <v>754</v>
      </c>
      <c r="D369" t="s">
        <v>775</v>
      </c>
      <c r="E369">
        <v>869204</v>
      </c>
      <c r="G369" s="2">
        <v>0.33333333333333331</v>
      </c>
      <c r="H369" s="2">
        <v>0.6875</v>
      </c>
      <c r="J369">
        <v>8</v>
      </c>
      <c r="K369" t="s">
        <v>886</v>
      </c>
      <c r="L369" t="str">
        <f t="shared" si="15"/>
        <v>65</v>
      </c>
      <c r="M369">
        <f t="shared" si="16"/>
        <v>0</v>
      </c>
      <c r="N369">
        <f t="shared" si="17"/>
        <v>0</v>
      </c>
    </row>
    <row r="370" spans="1:14">
      <c r="A370">
        <v>7782</v>
      </c>
      <c r="B370" t="s">
        <v>1204</v>
      </c>
      <c r="C370" t="s">
        <v>755</v>
      </c>
      <c r="D370" t="s">
        <v>777</v>
      </c>
      <c r="E370">
        <v>431876</v>
      </c>
      <c r="G370" s="2">
        <v>0.21458333333333335</v>
      </c>
      <c r="H370" s="2">
        <v>0.35625000000000001</v>
      </c>
      <c r="J370">
        <v>3.1946110700484498</v>
      </c>
      <c r="K370" t="s">
        <v>778</v>
      </c>
      <c r="L370" t="str">
        <f t="shared" si="15"/>
        <v>37</v>
      </c>
      <c r="M370">
        <f t="shared" si="16"/>
        <v>0</v>
      </c>
      <c r="N370">
        <f t="shared" si="17"/>
        <v>0</v>
      </c>
    </row>
    <row r="371" spans="1:14">
      <c r="A371">
        <v>7782</v>
      </c>
      <c r="B371" t="s">
        <v>1204</v>
      </c>
      <c r="C371" t="s">
        <v>755</v>
      </c>
      <c r="D371" t="s">
        <v>777</v>
      </c>
      <c r="E371">
        <v>431876</v>
      </c>
      <c r="G371" s="2">
        <v>0.35625000000000001</v>
      </c>
      <c r="H371" s="2">
        <v>0.42708333333333331</v>
      </c>
      <c r="J371">
        <v>1.59730553502422</v>
      </c>
      <c r="K371" t="s">
        <v>779</v>
      </c>
      <c r="L371" t="str">
        <f t="shared" si="15"/>
        <v>37</v>
      </c>
      <c r="M371">
        <f t="shared" si="16"/>
        <v>0</v>
      </c>
      <c r="N371">
        <f t="shared" si="17"/>
        <v>0</v>
      </c>
    </row>
    <row r="372" spans="1:14">
      <c r="A372">
        <v>7782</v>
      </c>
      <c r="B372" t="s">
        <v>1204</v>
      </c>
      <c r="C372" t="s">
        <v>755</v>
      </c>
      <c r="D372" t="s">
        <v>777</v>
      </c>
      <c r="E372">
        <v>431876</v>
      </c>
      <c r="G372" s="2">
        <v>0.42708333333333331</v>
      </c>
      <c r="H372" s="2">
        <v>0.44444444444444442</v>
      </c>
      <c r="J372">
        <v>0.39149645466279998</v>
      </c>
      <c r="K372" t="s">
        <v>780</v>
      </c>
      <c r="L372" t="str">
        <f t="shared" si="15"/>
        <v>46</v>
      </c>
      <c r="M372">
        <f t="shared" si="16"/>
        <v>0</v>
      </c>
      <c r="N372">
        <f t="shared" si="17"/>
        <v>0</v>
      </c>
    </row>
    <row r="373" spans="1:14">
      <c r="A373">
        <v>7782</v>
      </c>
      <c r="B373" t="s">
        <v>1204</v>
      </c>
      <c r="C373" t="s">
        <v>755</v>
      </c>
      <c r="D373" t="s">
        <v>777</v>
      </c>
      <c r="E373">
        <v>431876</v>
      </c>
      <c r="G373" s="2">
        <v>0.44444444444444442</v>
      </c>
      <c r="H373" s="2">
        <v>0.5625</v>
      </c>
      <c r="J373">
        <v>2.66217589170703</v>
      </c>
      <c r="K373" t="s">
        <v>779</v>
      </c>
      <c r="L373" t="str">
        <f t="shared" si="15"/>
        <v>37</v>
      </c>
      <c r="M373">
        <f t="shared" si="16"/>
        <v>0</v>
      </c>
      <c r="N373">
        <f t="shared" si="17"/>
        <v>0</v>
      </c>
    </row>
    <row r="374" spans="1:14">
      <c r="A374">
        <v>7348</v>
      </c>
      <c r="B374" t="s">
        <v>887</v>
      </c>
      <c r="C374" t="s">
        <v>755</v>
      </c>
      <c r="D374" t="s">
        <v>757</v>
      </c>
      <c r="E374">
        <v>275765</v>
      </c>
      <c r="G374" s="2">
        <v>0.13194444444444445</v>
      </c>
      <c r="H374" s="2">
        <v>0.16944444444444443</v>
      </c>
      <c r="J374">
        <v>0.89969062499998997</v>
      </c>
      <c r="K374" t="s">
        <v>799</v>
      </c>
      <c r="L374" t="str">
        <f t="shared" si="15"/>
        <v>33</v>
      </c>
      <c r="M374">
        <f t="shared" si="16"/>
        <v>0</v>
      </c>
      <c r="N374">
        <f t="shared" si="17"/>
        <v>0</v>
      </c>
    </row>
    <row r="375" spans="1:14">
      <c r="A375">
        <v>7348</v>
      </c>
      <c r="B375" t="s">
        <v>887</v>
      </c>
      <c r="C375" t="s">
        <v>755</v>
      </c>
      <c r="D375" t="s">
        <v>757</v>
      </c>
      <c r="E375">
        <v>275765</v>
      </c>
      <c r="G375" s="2">
        <v>0.16944444444444443</v>
      </c>
      <c r="H375" s="2">
        <v>0.17361111111111113</v>
      </c>
      <c r="J375">
        <v>9.9965624999998906E-2</v>
      </c>
      <c r="K375" t="s">
        <v>847</v>
      </c>
      <c r="L375" t="str">
        <f t="shared" si="15"/>
        <v>33</v>
      </c>
      <c r="M375">
        <f t="shared" si="16"/>
        <v>0</v>
      </c>
      <c r="N375">
        <f t="shared" si="17"/>
        <v>0</v>
      </c>
    </row>
    <row r="376" spans="1:14">
      <c r="A376">
        <v>7348</v>
      </c>
      <c r="B376" t="s">
        <v>887</v>
      </c>
      <c r="C376" t="s">
        <v>755</v>
      </c>
      <c r="D376" t="s">
        <v>757</v>
      </c>
      <c r="E376">
        <v>275765</v>
      </c>
      <c r="G376" s="2">
        <v>0.17361111111111113</v>
      </c>
      <c r="H376" s="2">
        <v>0.22777777777777777</v>
      </c>
      <c r="J376">
        <v>1.2995531249999801</v>
      </c>
      <c r="K376" t="s">
        <v>842</v>
      </c>
      <c r="L376" t="str">
        <f t="shared" si="15"/>
        <v>33</v>
      </c>
      <c r="M376">
        <f t="shared" si="16"/>
        <v>0</v>
      </c>
      <c r="N376">
        <f t="shared" si="17"/>
        <v>0</v>
      </c>
    </row>
    <row r="377" spans="1:14">
      <c r="A377">
        <v>7348</v>
      </c>
      <c r="B377" t="s">
        <v>887</v>
      </c>
      <c r="C377" t="s">
        <v>755</v>
      </c>
      <c r="D377" t="s">
        <v>757</v>
      </c>
      <c r="E377">
        <v>275765</v>
      </c>
      <c r="G377" s="2">
        <v>0.22777777777777777</v>
      </c>
      <c r="H377" s="2">
        <v>0.35416666666666669</v>
      </c>
      <c r="J377">
        <v>3.0322906249999599</v>
      </c>
      <c r="K377" t="s">
        <v>847</v>
      </c>
      <c r="L377" t="str">
        <f t="shared" si="15"/>
        <v>33</v>
      </c>
      <c r="M377">
        <f t="shared" si="16"/>
        <v>0</v>
      </c>
      <c r="N377">
        <f t="shared" si="17"/>
        <v>0</v>
      </c>
    </row>
    <row r="378" spans="1:14">
      <c r="A378">
        <v>7079</v>
      </c>
      <c r="B378" t="s">
        <v>1097</v>
      </c>
      <c r="C378" t="s">
        <v>754</v>
      </c>
      <c r="D378" t="s">
        <v>830</v>
      </c>
      <c r="E378">
        <v>19917</v>
      </c>
      <c r="G378" s="2">
        <v>0.48749999999999999</v>
      </c>
      <c r="H378" s="2">
        <v>0.75</v>
      </c>
      <c r="J378">
        <v>5.7971672061927402</v>
      </c>
      <c r="K378" t="s">
        <v>808</v>
      </c>
      <c r="L378" t="str">
        <f t="shared" si="15"/>
        <v>37</v>
      </c>
      <c r="M378">
        <f t="shared" si="16"/>
        <v>0</v>
      </c>
      <c r="N378">
        <f t="shared" si="17"/>
        <v>0</v>
      </c>
    </row>
    <row r="379" spans="1:14">
      <c r="A379">
        <v>7164</v>
      </c>
      <c r="B379" t="s">
        <v>1098</v>
      </c>
      <c r="C379" t="s">
        <v>755</v>
      </c>
      <c r="D379" t="s">
        <v>914</v>
      </c>
      <c r="E379">
        <v>30268</v>
      </c>
      <c r="G379" s="2">
        <v>0.38194444444444442</v>
      </c>
      <c r="H379" s="2">
        <v>0.52222222222222225</v>
      </c>
      <c r="J379">
        <v>3.3647654571261101</v>
      </c>
      <c r="K379" t="s">
        <v>759</v>
      </c>
      <c r="L379" t="str">
        <f t="shared" si="15"/>
        <v>33</v>
      </c>
      <c r="M379">
        <f t="shared" si="16"/>
        <v>0</v>
      </c>
      <c r="N379">
        <f t="shared" si="17"/>
        <v>0</v>
      </c>
    </row>
    <row r="380" spans="1:14">
      <c r="A380">
        <v>7164</v>
      </c>
      <c r="B380" t="s">
        <v>1098</v>
      </c>
      <c r="C380" t="s">
        <v>755</v>
      </c>
      <c r="D380" t="s">
        <v>914</v>
      </c>
      <c r="E380">
        <v>30268</v>
      </c>
      <c r="G380" s="2">
        <v>0.52222222222222225</v>
      </c>
      <c r="H380" s="2">
        <v>0.79166666666666663</v>
      </c>
      <c r="J380">
        <v>6.4630148384402402</v>
      </c>
      <c r="K380" t="s">
        <v>842</v>
      </c>
      <c r="L380" t="str">
        <f t="shared" si="15"/>
        <v>33</v>
      </c>
      <c r="M380">
        <f t="shared" si="16"/>
        <v>0</v>
      </c>
      <c r="N380">
        <f t="shared" si="17"/>
        <v>0</v>
      </c>
    </row>
    <row r="381" spans="1:14">
      <c r="A381">
        <v>7083</v>
      </c>
      <c r="B381" t="s">
        <v>888</v>
      </c>
      <c r="C381" t="s">
        <v>754</v>
      </c>
      <c r="D381" t="s">
        <v>802</v>
      </c>
      <c r="E381">
        <v>26070</v>
      </c>
      <c r="G381" s="2">
        <v>0.50347222222222221</v>
      </c>
      <c r="H381" s="2">
        <v>0.77083333333333337</v>
      </c>
      <c r="J381">
        <v>5.9303978888106101</v>
      </c>
      <c r="K381" t="s">
        <v>1136</v>
      </c>
      <c r="L381" t="str">
        <f t="shared" si="15"/>
        <v>37</v>
      </c>
      <c r="M381">
        <f t="shared" si="16"/>
        <v>0</v>
      </c>
      <c r="N381">
        <f t="shared" si="17"/>
        <v>0</v>
      </c>
    </row>
    <row r="382" spans="1:14">
      <c r="A382">
        <v>7183</v>
      </c>
      <c r="B382" t="s">
        <v>890</v>
      </c>
      <c r="C382" t="s">
        <v>755</v>
      </c>
      <c r="D382">
        <v>65</v>
      </c>
      <c r="E382">
        <v>40808</v>
      </c>
      <c r="G382" s="2">
        <v>0.3611111111111111</v>
      </c>
      <c r="H382" s="2">
        <v>0.61041666666666672</v>
      </c>
      <c r="J382">
        <v>5.9805714285713396</v>
      </c>
      <c r="K382" t="s">
        <v>891</v>
      </c>
      <c r="L382" t="str">
        <f t="shared" si="15"/>
        <v>65</v>
      </c>
      <c r="M382">
        <f t="shared" si="16"/>
        <v>0</v>
      </c>
      <c r="N382">
        <f t="shared" si="17"/>
        <v>0</v>
      </c>
    </row>
    <row r="383" spans="1:14">
      <c r="A383">
        <v>7423</v>
      </c>
      <c r="B383" t="s">
        <v>892</v>
      </c>
      <c r="C383" t="s">
        <v>754</v>
      </c>
      <c r="D383" t="s">
        <v>893</v>
      </c>
      <c r="E383">
        <v>54082</v>
      </c>
      <c r="G383" s="2">
        <v>0.56388888888888888</v>
      </c>
      <c r="H383" s="2">
        <v>0.65347222222222223</v>
      </c>
      <c r="J383">
        <v>2.0052718204031099</v>
      </c>
      <c r="K383" t="s">
        <v>858</v>
      </c>
      <c r="L383" t="str">
        <f t="shared" si="15"/>
        <v>33</v>
      </c>
      <c r="M383">
        <f t="shared" si="16"/>
        <v>0</v>
      </c>
      <c r="N383">
        <f t="shared" si="17"/>
        <v>0</v>
      </c>
    </row>
    <row r="384" spans="1:14">
      <c r="A384">
        <v>7423</v>
      </c>
      <c r="B384" t="s">
        <v>892</v>
      </c>
      <c r="C384" t="s">
        <v>754</v>
      </c>
      <c r="D384" t="s">
        <v>893</v>
      </c>
      <c r="E384">
        <v>54082</v>
      </c>
      <c r="G384" s="2">
        <v>0.65347222222222223</v>
      </c>
      <c r="H384" s="2">
        <v>0.84097222222222223</v>
      </c>
      <c r="J384">
        <v>4.1970805543321097</v>
      </c>
      <c r="K384" t="s">
        <v>948</v>
      </c>
      <c r="L384" t="str">
        <f t="shared" si="15"/>
        <v>46</v>
      </c>
      <c r="M384">
        <f t="shared" si="16"/>
        <v>0</v>
      </c>
      <c r="N384">
        <f t="shared" si="17"/>
        <v>0</v>
      </c>
    </row>
    <row r="385" spans="1:14">
      <c r="A385">
        <v>7423</v>
      </c>
      <c r="B385" t="s">
        <v>892</v>
      </c>
      <c r="C385" t="s">
        <v>754</v>
      </c>
      <c r="D385" t="s">
        <v>893</v>
      </c>
      <c r="E385">
        <v>54082</v>
      </c>
      <c r="G385" s="2">
        <v>0.84097222222222223</v>
      </c>
      <c r="H385" s="2">
        <v>0.87569444444444444</v>
      </c>
      <c r="J385">
        <v>0.77723713969113095</v>
      </c>
      <c r="K385" t="s">
        <v>759</v>
      </c>
      <c r="L385" t="str">
        <f t="shared" si="15"/>
        <v>33</v>
      </c>
      <c r="M385">
        <f t="shared" si="16"/>
        <v>0</v>
      </c>
      <c r="N385">
        <f t="shared" si="17"/>
        <v>0</v>
      </c>
    </row>
    <row r="386" spans="1:14">
      <c r="A386">
        <v>7338</v>
      </c>
      <c r="B386" t="s">
        <v>894</v>
      </c>
      <c r="C386" t="s">
        <v>754</v>
      </c>
      <c r="D386" t="s">
        <v>777</v>
      </c>
      <c r="E386">
        <v>275687</v>
      </c>
      <c r="G386" s="2">
        <v>0.12847222222222224</v>
      </c>
      <c r="H386" s="2">
        <v>0.13541666666666666</v>
      </c>
      <c r="J386">
        <v>0.156405117226561</v>
      </c>
      <c r="K386" t="s">
        <v>767</v>
      </c>
      <c r="L386" t="str">
        <f t="shared" ref="L386:L449" si="18">RIGHT(LEFT(K386,4),2)</f>
        <v>37</v>
      </c>
      <c r="M386">
        <f t="shared" ref="M386:M449" si="19">IF(I386=0,0,I386-H386)+IF(F386=0,0,G386-F386)</f>
        <v>0</v>
      </c>
      <c r="N386">
        <f t="shared" ref="N386:N449" si="20">(M386-INT(M386))*24</f>
        <v>0</v>
      </c>
    </row>
    <row r="387" spans="1:14">
      <c r="A387">
        <v>7338</v>
      </c>
      <c r="B387" t="s">
        <v>894</v>
      </c>
      <c r="C387" t="s">
        <v>754</v>
      </c>
      <c r="D387" t="s">
        <v>777</v>
      </c>
      <c r="E387">
        <v>275687</v>
      </c>
      <c r="G387" s="2">
        <v>0.13541666666666666</v>
      </c>
      <c r="H387" s="2">
        <v>0.21736111111111112</v>
      </c>
      <c r="J387">
        <v>1.8455803832734201</v>
      </c>
      <c r="K387" t="s">
        <v>768</v>
      </c>
      <c r="L387" t="str">
        <f t="shared" si="18"/>
        <v>46</v>
      </c>
      <c r="M387">
        <f t="shared" si="19"/>
        <v>0</v>
      </c>
      <c r="N387">
        <f t="shared" si="20"/>
        <v>0</v>
      </c>
    </row>
    <row r="388" spans="1:14">
      <c r="A388">
        <v>7338</v>
      </c>
      <c r="B388" t="s">
        <v>894</v>
      </c>
      <c r="C388" t="s">
        <v>754</v>
      </c>
      <c r="D388" t="s">
        <v>777</v>
      </c>
      <c r="E388">
        <v>275687</v>
      </c>
      <c r="G388" s="2">
        <v>0.21736111111111112</v>
      </c>
      <c r="H388" s="2">
        <v>0.32708333333333334</v>
      </c>
      <c r="J388">
        <v>2.4712008521796598</v>
      </c>
      <c r="K388" t="s">
        <v>763</v>
      </c>
      <c r="L388" t="str">
        <f t="shared" si="18"/>
        <v>33</v>
      </c>
      <c r="M388">
        <f t="shared" si="19"/>
        <v>0</v>
      </c>
      <c r="N388">
        <f t="shared" si="20"/>
        <v>0</v>
      </c>
    </row>
    <row r="389" spans="1:14">
      <c r="A389">
        <v>7338</v>
      </c>
      <c r="B389" t="s">
        <v>894</v>
      </c>
      <c r="C389" t="s">
        <v>754</v>
      </c>
      <c r="D389" t="s">
        <v>777</v>
      </c>
      <c r="E389">
        <v>275687</v>
      </c>
      <c r="G389" s="2">
        <v>0.32708333333333334</v>
      </c>
      <c r="H389" s="2">
        <v>0.37986111111111115</v>
      </c>
      <c r="J389">
        <v>1.18867889092186</v>
      </c>
      <c r="K389" t="s">
        <v>768</v>
      </c>
      <c r="L389" t="str">
        <f t="shared" si="18"/>
        <v>46</v>
      </c>
      <c r="M389">
        <f t="shared" si="19"/>
        <v>0</v>
      </c>
      <c r="N389">
        <f t="shared" si="20"/>
        <v>0</v>
      </c>
    </row>
    <row r="390" spans="1:14">
      <c r="A390">
        <v>7338</v>
      </c>
      <c r="B390" t="s">
        <v>894</v>
      </c>
      <c r="C390" t="s">
        <v>754</v>
      </c>
      <c r="D390" t="s">
        <v>777</v>
      </c>
      <c r="E390">
        <v>275687</v>
      </c>
      <c r="G390" s="2">
        <v>0.37986111111111115</v>
      </c>
      <c r="H390" s="2">
        <v>0.3979166666666667</v>
      </c>
      <c r="J390">
        <v>0.40665330478905898</v>
      </c>
      <c r="K390" t="s">
        <v>767</v>
      </c>
      <c r="L390" t="str">
        <f t="shared" si="18"/>
        <v>37</v>
      </c>
      <c r="M390">
        <f t="shared" si="19"/>
        <v>0</v>
      </c>
      <c r="N390">
        <f t="shared" si="20"/>
        <v>0</v>
      </c>
    </row>
    <row r="391" spans="1:14">
      <c r="A391">
        <v>7338</v>
      </c>
      <c r="B391" t="s">
        <v>894</v>
      </c>
      <c r="C391" t="s">
        <v>754</v>
      </c>
      <c r="D391" t="s">
        <v>777</v>
      </c>
      <c r="E391">
        <v>275687</v>
      </c>
      <c r="G391" s="2">
        <v>0.3979166666666667</v>
      </c>
      <c r="H391" s="2">
        <v>0.45833333333333331</v>
      </c>
      <c r="J391">
        <v>1.36072451987108</v>
      </c>
      <c r="K391" t="s">
        <v>768</v>
      </c>
      <c r="L391" t="str">
        <f t="shared" si="18"/>
        <v>46</v>
      </c>
      <c r="M391">
        <f t="shared" si="19"/>
        <v>0</v>
      </c>
      <c r="N391">
        <f t="shared" si="20"/>
        <v>0</v>
      </c>
    </row>
    <row r="392" spans="1:14">
      <c r="A392">
        <v>4004</v>
      </c>
      <c r="B392" t="s">
        <v>1099</v>
      </c>
      <c r="C392" t="s">
        <v>756</v>
      </c>
      <c r="E392">
        <v>903849</v>
      </c>
      <c r="G392" s="2">
        <v>0.46527777777777773</v>
      </c>
      <c r="H392" s="2">
        <v>0.54166666666666663</v>
      </c>
      <c r="J392">
        <v>1.71537277913363</v>
      </c>
      <c r="K392" t="s">
        <v>763</v>
      </c>
      <c r="L392" t="str">
        <f t="shared" si="18"/>
        <v>33</v>
      </c>
      <c r="M392">
        <f t="shared" si="19"/>
        <v>0</v>
      </c>
      <c r="N392">
        <f t="shared" si="20"/>
        <v>0</v>
      </c>
    </row>
    <row r="393" spans="1:14">
      <c r="A393">
        <v>4004</v>
      </c>
      <c r="B393" t="s">
        <v>1099</v>
      </c>
      <c r="C393" t="s">
        <v>756</v>
      </c>
      <c r="E393">
        <v>903849</v>
      </c>
      <c r="G393" s="2">
        <v>0.54166666666666663</v>
      </c>
      <c r="H393" s="2">
        <v>0.72152777777777777</v>
      </c>
      <c r="J393">
        <v>4.0389231799601104</v>
      </c>
      <c r="K393" t="s">
        <v>912</v>
      </c>
      <c r="L393" t="str">
        <f t="shared" si="18"/>
        <v>33</v>
      </c>
      <c r="M393">
        <f t="shared" si="19"/>
        <v>0</v>
      </c>
      <c r="N393">
        <f t="shared" si="20"/>
        <v>0</v>
      </c>
    </row>
    <row r="394" spans="1:14">
      <c r="A394">
        <v>4004</v>
      </c>
      <c r="B394" t="s">
        <v>1099</v>
      </c>
      <c r="C394" t="s">
        <v>756</v>
      </c>
      <c r="E394">
        <v>903849</v>
      </c>
      <c r="G394" s="2">
        <v>0.72152777777777777</v>
      </c>
      <c r="H394" s="2">
        <v>0.72222222222222221</v>
      </c>
      <c r="J394">
        <v>1.5594297992123999E-2</v>
      </c>
      <c r="K394" t="s">
        <v>833</v>
      </c>
      <c r="L394" t="str">
        <f t="shared" si="18"/>
        <v>33</v>
      </c>
      <c r="M394">
        <f t="shared" si="19"/>
        <v>0</v>
      </c>
      <c r="N394">
        <f t="shared" si="20"/>
        <v>0</v>
      </c>
    </row>
    <row r="395" spans="1:14">
      <c r="A395">
        <v>4004</v>
      </c>
      <c r="B395" t="s">
        <v>1099</v>
      </c>
      <c r="C395" t="s">
        <v>756</v>
      </c>
      <c r="E395">
        <v>903849</v>
      </c>
      <c r="G395" s="2">
        <v>0.72222222222222221</v>
      </c>
      <c r="H395" s="2">
        <v>0.79166666666666663</v>
      </c>
      <c r="J395">
        <v>1.5594297992124</v>
      </c>
      <c r="K395" t="s">
        <v>759</v>
      </c>
      <c r="L395" t="str">
        <f t="shared" si="18"/>
        <v>33</v>
      </c>
      <c r="M395">
        <f t="shared" si="19"/>
        <v>0</v>
      </c>
      <c r="N395">
        <f t="shared" si="20"/>
        <v>0</v>
      </c>
    </row>
    <row r="396" spans="1:14">
      <c r="A396">
        <v>7089</v>
      </c>
      <c r="B396" t="s">
        <v>895</v>
      </c>
      <c r="C396" t="s">
        <v>754</v>
      </c>
      <c r="D396" t="s">
        <v>830</v>
      </c>
      <c r="E396">
        <v>22031</v>
      </c>
      <c r="G396" s="2">
        <v>0.51180555555555551</v>
      </c>
      <c r="H396" s="2">
        <v>0.64097222222222217</v>
      </c>
      <c r="J396">
        <v>3.10389340619201</v>
      </c>
      <c r="K396" t="s">
        <v>759</v>
      </c>
      <c r="L396" t="str">
        <f t="shared" si="18"/>
        <v>33</v>
      </c>
      <c r="M396">
        <f t="shared" si="19"/>
        <v>0</v>
      </c>
      <c r="N396">
        <f t="shared" si="20"/>
        <v>0</v>
      </c>
    </row>
    <row r="397" spans="1:14">
      <c r="A397">
        <v>7089</v>
      </c>
      <c r="B397" t="s">
        <v>895</v>
      </c>
      <c r="C397" t="s">
        <v>754</v>
      </c>
      <c r="D397" t="s">
        <v>830</v>
      </c>
      <c r="E397">
        <v>22031</v>
      </c>
      <c r="G397" s="2">
        <v>0.64097222222222217</v>
      </c>
      <c r="H397" s="2">
        <v>0.64375000000000004</v>
      </c>
      <c r="J397">
        <v>6.6750395832086307E-2</v>
      </c>
      <c r="K397" t="s">
        <v>798</v>
      </c>
      <c r="L397" t="str">
        <f t="shared" si="18"/>
        <v>33</v>
      </c>
      <c r="M397">
        <f t="shared" si="19"/>
        <v>0</v>
      </c>
      <c r="N397">
        <f t="shared" si="20"/>
        <v>0</v>
      </c>
    </row>
    <row r="398" spans="1:14">
      <c r="A398">
        <v>7089</v>
      </c>
      <c r="B398" t="s">
        <v>895</v>
      </c>
      <c r="C398" t="s">
        <v>754</v>
      </c>
      <c r="D398" t="s">
        <v>830</v>
      </c>
      <c r="E398">
        <v>22031</v>
      </c>
      <c r="G398" s="2">
        <v>0.64375000000000004</v>
      </c>
      <c r="H398" s="2">
        <v>0.64722222222222225</v>
      </c>
      <c r="J398">
        <v>8.34379947901078E-2</v>
      </c>
      <c r="K398" t="s">
        <v>812</v>
      </c>
      <c r="L398" t="str">
        <f t="shared" si="18"/>
        <v>33</v>
      </c>
      <c r="M398">
        <f t="shared" si="19"/>
        <v>0</v>
      </c>
      <c r="N398">
        <f t="shared" si="20"/>
        <v>0</v>
      </c>
    </row>
    <row r="399" spans="1:14">
      <c r="A399">
        <v>7089</v>
      </c>
      <c r="B399" t="s">
        <v>895</v>
      </c>
      <c r="C399" t="s">
        <v>754</v>
      </c>
      <c r="D399" t="s">
        <v>830</v>
      </c>
      <c r="E399">
        <v>22031</v>
      </c>
      <c r="G399" s="2">
        <v>0.64722222222222225</v>
      </c>
      <c r="H399" s="2">
        <v>0.66041666666666665</v>
      </c>
      <c r="J399">
        <v>0.31706438020241001</v>
      </c>
      <c r="K399" t="s">
        <v>798</v>
      </c>
      <c r="L399" t="str">
        <f t="shared" si="18"/>
        <v>33</v>
      </c>
      <c r="M399">
        <f t="shared" si="19"/>
        <v>0</v>
      </c>
      <c r="N399">
        <f t="shared" si="20"/>
        <v>0</v>
      </c>
    </row>
    <row r="400" spans="1:14">
      <c r="A400">
        <v>7089</v>
      </c>
      <c r="B400" t="s">
        <v>895</v>
      </c>
      <c r="C400" t="s">
        <v>754</v>
      </c>
      <c r="D400" t="s">
        <v>830</v>
      </c>
      <c r="E400">
        <v>22031</v>
      </c>
      <c r="G400" s="2">
        <v>0.66041666666666665</v>
      </c>
      <c r="H400" s="2">
        <v>0.66249999999999998</v>
      </c>
      <c r="J400">
        <v>5.0062796874064702E-2</v>
      </c>
      <c r="K400" t="s">
        <v>812</v>
      </c>
      <c r="L400" t="str">
        <f t="shared" si="18"/>
        <v>33</v>
      </c>
      <c r="M400">
        <f t="shared" si="19"/>
        <v>0</v>
      </c>
      <c r="N400">
        <f t="shared" si="20"/>
        <v>0</v>
      </c>
    </row>
    <row r="401" spans="1:14">
      <c r="A401">
        <v>7089</v>
      </c>
      <c r="B401" t="s">
        <v>895</v>
      </c>
      <c r="C401" t="s">
        <v>754</v>
      </c>
      <c r="D401" t="s">
        <v>830</v>
      </c>
      <c r="E401">
        <v>22031</v>
      </c>
      <c r="G401" s="2">
        <v>0.66249999999999998</v>
      </c>
      <c r="H401" s="2">
        <v>0.66388888888888886</v>
      </c>
      <c r="J401">
        <v>3.3375197916043098E-2</v>
      </c>
      <c r="K401" t="s">
        <v>798</v>
      </c>
      <c r="L401" t="str">
        <f t="shared" si="18"/>
        <v>33</v>
      </c>
      <c r="M401">
        <f t="shared" si="19"/>
        <v>0</v>
      </c>
      <c r="N401">
        <f t="shared" si="20"/>
        <v>0</v>
      </c>
    </row>
    <row r="402" spans="1:14">
      <c r="A402">
        <v>7089</v>
      </c>
      <c r="B402" t="s">
        <v>895</v>
      </c>
      <c r="C402" t="s">
        <v>754</v>
      </c>
      <c r="D402" t="s">
        <v>830</v>
      </c>
      <c r="E402">
        <v>22031</v>
      </c>
      <c r="G402" s="2">
        <v>0.66388888888888886</v>
      </c>
      <c r="H402" s="2">
        <v>0.66874999999999996</v>
      </c>
      <c r="J402">
        <v>0.116813192706151</v>
      </c>
      <c r="K402" t="s">
        <v>812</v>
      </c>
      <c r="L402" t="str">
        <f t="shared" si="18"/>
        <v>33</v>
      </c>
      <c r="M402">
        <f t="shared" si="19"/>
        <v>0</v>
      </c>
      <c r="N402">
        <f t="shared" si="20"/>
        <v>0</v>
      </c>
    </row>
    <row r="403" spans="1:14">
      <c r="A403">
        <v>7089</v>
      </c>
      <c r="B403" t="s">
        <v>895</v>
      </c>
      <c r="C403" t="s">
        <v>754</v>
      </c>
      <c r="D403" t="s">
        <v>830</v>
      </c>
      <c r="E403">
        <v>22031</v>
      </c>
      <c r="G403" s="2">
        <v>0.66874999999999996</v>
      </c>
      <c r="H403" s="2">
        <v>0.67083333333333339</v>
      </c>
      <c r="J403">
        <v>5.0062796874064702E-2</v>
      </c>
      <c r="K403" t="s">
        <v>798</v>
      </c>
      <c r="L403" t="str">
        <f t="shared" si="18"/>
        <v>33</v>
      </c>
      <c r="M403">
        <f t="shared" si="19"/>
        <v>0</v>
      </c>
      <c r="N403">
        <f t="shared" si="20"/>
        <v>0</v>
      </c>
    </row>
    <row r="404" spans="1:14">
      <c r="A404">
        <v>7089</v>
      </c>
      <c r="B404" t="s">
        <v>895</v>
      </c>
      <c r="C404" t="s">
        <v>754</v>
      </c>
      <c r="D404" t="s">
        <v>830</v>
      </c>
      <c r="E404">
        <v>22031</v>
      </c>
      <c r="G404" s="2">
        <v>0.67083333333333339</v>
      </c>
      <c r="H404" s="2">
        <v>0.68541666666666667</v>
      </c>
      <c r="J404">
        <v>0.350439578118452</v>
      </c>
      <c r="K404" t="s">
        <v>813</v>
      </c>
      <c r="L404" t="str">
        <f t="shared" si="18"/>
        <v>33</v>
      </c>
      <c r="M404">
        <f t="shared" si="19"/>
        <v>0</v>
      </c>
      <c r="N404">
        <f t="shared" si="20"/>
        <v>0</v>
      </c>
    </row>
    <row r="405" spans="1:14">
      <c r="A405">
        <v>7089</v>
      </c>
      <c r="B405" t="s">
        <v>895</v>
      </c>
      <c r="C405" t="s">
        <v>754</v>
      </c>
      <c r="D405" t="s">
        <v>830</v>
      </c>
      <c r="E405">
        <v>22031</v>
      </c>
      <c r="G405" s="2">
        <v>0.68541666666666667</v>
      </c>
      <c r="H405" s="2">
        <v>0.68819444444444444</v>
      </c>
      <c r="J405">
        <v>6.6750395832086307E-2</v>
      </c>
      <c r="K405" t="s">
        <v>798</v>
      </c>
      <c r="L405" t="str">
        <f t="shared" si="18"/>
        <v>33</v>
      </c>
      <c r="M405">
        <f t="shared" si="19"/>
        <v>0</v>
      </c>
      <c r="N405">
        <f t="shared" si="20"/>
        <v>0</v>
      </c>
    </row>
    <row r="406" spans="1:14">
      <c r="A406">
        <v>7089</v>
      </c>
      <c r="B406" t="s">
        <v>895</v>
      </c>
      <c r="C406" t="s">
        <v>754</v>
      </c>
      <c r="D406" t="s">
        <v>830</v>
      </c>
      <c r="E406">
        <v>22031</v>
      </c>
      <c r="G406" s="2">
        <v>0.68819444444444444</v>
      </c>
      <c r="H406" s="2">
        <v>0.6958333333333333</v>
      </c>
      <c r="J406">
        <v>0.18356358853823601</v>
      </c>
      <c r="K406" t="s">
        <v>813</v>
      </c>
      <c r="L406" t="str">
        <f t="shared" si="18"/>
        <v>33</v>
      </c>
      <c r="M406">
        <f t="shared" si="19"/>
        <v>0</v>
      </c>
      <c r="N406">
        <f t="shared" si="20"/>
        <v>0</v>
      </c>
    </row>
    <row r="407" spans="1:14">
      <c r="A407">
        <v>7089</v>
      </c>
      <c r="B407" t="s">
        <v>895</v>
      </c>
      <c r="C407" t="s">
        <v>754</v>
      </c>
      <c r="D407" t="s">
        <v>830</v>
      </c>
      <c r="E407">
        <v>22031</v>
      </c>
      <c r="G407" s="2">
        <v>0.6958333333333333</v>
      </c>
      <c r="H407" s="2">
        <v>0.70625000000000004</v>
      </c>
      <c r="J407">
        <v>0.25031398437032298</v>
      </c>
      <c r="K407" t="s">
        <v>806</v>
      </c>
      <c r="L407" t="str">
        <f t="shared" si="18"/>
        <v>33</v>
      </c>
      <c r="M407">
        <f t="shared" si="19"/>
        <v>0</v>
      </c>
      <c r="N407">
        <f t="shared" si="20"/>
        <v>0</v>
      </c>
    </row>
    <row r="408" spans="1:14">
      <c r="A408">
        <v>7089</v>
      </c>
      <c r="B408" t="s">
        <v>895</v>
      </c>
      <c r="C408" t="s">
        <v>754</v>
      </c>
      <c r="D408" t="s">
        <v>830</v>
      </c>
      <c r="E408">
        <v>22031</v>
      </c>
      <c r="G408" s="2">
        <v>0.70625000000000004</v>
      </c>
      <c r="H408" s="2">
        <v>0.70972222222222225</v>
      </c>
      <c r="J408">
        <v>8.34379947901078E-2</v>
      </c>
      <c r="K408" t="s">
        <v>798</v>
      </c>
      <c r="L408" t="str">
        <f t="shared" si="18"/>
        <v>33</v>
      </c>
      <c r="M408">
        <f t="shared" si="19"/>
        <v>0</v>
      </c>
      <c r="N408">
        <f t="shared" si="20"/>
        <v>0</v>
      </c>
    </row>
    <row r="409" spans="1:14">
      <c r="A409">
        <v>7089</v>
      </c>
      <c r="B409" t="s">
        <v>895</v>
      </c>
      <c r="C409" t="s">
        <v>754</v>
      </c>
      <c r="D409" t="s">
        <v>830</v>
      </c>
      <c r="E409">
        <v>22031</v>
      </c>
      <c r="G409" s="2">
        <v>0.70972222222222225</v>
      </c>
      <c r="H409" s="2">
        <v>0.74722222222222223</v>
      </c>
      <c r="J409">
        <v>0.90113034373316403</v>
      </c>
      <c r="K409" t="s">
        <v>806</v>
      </c>
      <c r="L409" t="str">
        <f t="shared" si="18"/>
        <v>33</v>
      </c>
      <c r="M409">
        <f t="shared" si="19"/>
        <v>0</v>
      </c>
      <c r="N409">
        <f t="shared" si="20"/>
        <v>0</v>
      </c>
    </row>
    <row r="410" spans="1:14">
      <c r="A410">
        <v>7089</v>
      </c>
      <c r="B410" t="s">
        <v>895</v>
      </c>
      <c r="C410" t="s">
        <v>754</v>
      </c>
      <c r="D410" t="s">
        <v>830</v>
      </c>
      <c r="E410">
        <v>22031</v>
      </c>
      <c r="G410" s="2">
        <v>0.74722222222222223</v>
      </c>
      <c r="H410" s="2">
        <v>0.79861111111111116</v>
      </c>
      <c r="J410">
        <v>1.2348823228935899</v>
      </c>
      <c r="K410" t="s">
        <v>798</v>
      </c>
      <c r="L410" t="str">
        <f t="shared" si="18"/>
        <v>33</v>
      </c>
      <c r="M410">
        <f t="shared" si="19"/>
        <v>0</v>
      </c>
      <c r="N410">
        <f t="shared" si="20"/>
        <v>0</v>
      </c>
    </row>
    <row r="411" spans="1:14">
      <c r="A411">
        <v>7089</v>
      </c>
      <c r="B411" t="s">
        <v>895</v>
      </c>
      <c r="C411" t="s">
        <v>754</v>
      </c>
      <c r="D411" t="s">
        <v>830</v>
      </c>
      <c r="E411">
        <v>22031</v>
      </c>
      <c r="G411" s="2">
        <v>0.79861111111111116</v>
      </c>
      <c r="H411" s="2">
        <v>0.80347222222222225</v>
      </c>
      <c r="J411">
        <v>0.116813192706151</v>
      </c>
      <c r="K411" t="s">
        <v>799</v>
      </c>
      <c r="L411" t="str">
        <f t="shared" si="18"/>
        <v>33</v>
      </c>
      <c r="M411">
        <f t="shared" si="19"/>
        <v>0</v>
      </c>
      <c r="N411">
        <f t="shared" si="20"/>
        <v>0</v>
      </c>
    </row>
    <row r="412" spans="1:14">
      <c r="A412">
        <v>7089</v>
      </c>
      <c r="B412" t="s">
        <v>895</v>
      </c>
      <c r="C412" t="s">
        <v>754</v>
      </c>
      <c r="D412" t="s">
        <v>830</v>
      </c>
      <c r="E412">
        <v>22031</v>
      </c>
      <c r="G412" s="2">
        <v>0.80347222222222225</v>
      </c>
      <c r="H412" s="2">
        <v>0.81597222222222221</v>
      </c>
      <c r="J412">
        <v>0.30037678124438799</v>
      </c>
      <c r="K412" t="s">
        <v>798</v>
      </c>
      <c r="L412" t="str">
        <f t="shared" si="18"/>
        <v>33</v>
      </c>
      <c r="M412">
        <f t="shared" si="19"/>
        <v>0</v>
      </c>
      <c r="N412">
        <f t="shared" si="20"/>
        <v>0</v>
      </c>
    </row>
    <row r="413" spans="1:14">
      <c r="A413">
        <v>7089</v>
      </c>
      <c r="B413" t="s">
        <v>895</v>
      </c>
      <c r="C413" t="s">
        <v>754</v>
      </c>
      <c r="D413" t="s">
        <v>830</v>
      </c>
      <c r="E413">
        <v>22031</v>
      </c>
      <c r="G413" s="2">
        <v>0.81597222222222221</v>
      </c>
      <c r="H413" s="2">
        <v>0.89583333333333337</v>
      </c>
      <c r="J413">
        <v>1.91907388017248</v>
      </c>
      <c r="K413" t="s">
        <v>799</v>
      </c>
      <c r="L413" t="str">
        <f t="shared" si="18"/>
        <v>33</v>
      </c>
      <c r="M413">
        <f t="shared" si="19"/>
        <v>0</v>
      </c>
      <c r="N413">
        <f t="shared" si="20"/>
        <v>0</v>
      </c>
    </row>
    <row r="414" spans="1:14">
      <c r="A414">
        <v>7425</v>
      </c>
      <c r="B414" t="s">
        <v>1100</v>
      </c>
      <c r="C414" t="s">
        <v>754</v>
      </c>
      <c r="D414" t="s">
        <v>795</v>
      </c>
      <c r="E414">
        <v>301238</v>
      </c>
      <c r="G414" s="2">
        <v>0.83958333333333324</v>
      </c>
      <c r="H414" s="2">
        <v>0.9868055555555556</v>
      </c>
      <c r="J414">
        <v>3.2660208586208102</v>
      </c>
      <c r="K414" t="s">
        <v>796</v>
      </c>
      <c r="L414" t="str">
        <f t="shared" si="18"/>
        <v>37</v>
      </c>
      <c r="M414">
        <f t="shared" si="19"/>
        <v>0</v>
      </c>
      <c r="N414">
        <f t="shared" si="20"/>
        <v>0</v>
      </c>
    </row>
    <row r="415" spans="1:14">
      <c r="A415">
        <v>7425</v>
      </c>
      <c r="B415" t="s">
        <v>1100</v>
      </c>
      <c r="C415" t="s">
        <v>754</v>
      </c>
      <c r="D415" t="s">
        <v>795</v>
      </c>
      <c r="E415">
        <v>301238</v>
      </c>
      <c r="G415" s="2">
        <v>0.9868055555555556</v>
      </c>
      <c r="H415" s="2">
        <v>0.99236111111111114</v>
      </c>
      <c r="J415">
        <v>0.123246070136634</v>
      </c>
      <c r="K415" t="s">
        <v>797</v>
      </c>
      <c r="L415" t="str">
        <f t="shared" si="18"/>
        <v>37</v>
      </c>
      <c r="M415">
        <f t="shared" si="19"/>
        <v>0</v>
      </c>
      <c r="N415">
        <f t="shared" si="20"/>
        <v>0</v>
      </c>
    </row>
    <row r="416" spans="1:14">
      <c r="A416">
        <v>7425</v>
      </c>
      <c r="B416" t="s">
        <v>1100</v>
      </c>
      <c r="C416" t="s">
        <v>754</v>
      </c>
      <c r="D416" t="s">
        <v>795</v>
      </c>
      <c r="E416">
        <v>301238</v>
      </c>
      <c r="G416" s="2">
        <v>0.99236111111111114</v>
      </c>
      <c r="H416" s="2">
        <v>9.0277777777777787E-3</v>
      </c>
      <c r="J416">
        <v>0.36973821040990301</v>
      </c>
      <c r="K416" t="s">
        <v>796</v>
      </c>
      <c r="L416" t="str">
        <f t="shared" si="18"/>
        <v>37</v>
      </c>
      <c r="M416">
        <f t="shared" si="19"/>
        <v>0</v>
      </c>
      <c r="N416">
        <f t="shared" si="20"/>
        <v>0</v>
      </c>
    </row>
    <row r="417" spans="1:14">
      <c r="A417">
        <v>7425</v>
      </c>
      <c r="B417" t="s">
        <v>1100</v>
      </c>
      <c r="C417" t="s">
        <v>754</v>
      </c>
      <c r="D417" t="s">
        <v>795</v>
      </c>
      <c r="E417">
        <v>301238</v>
      </c>
      <c r="G417" s="2">
        <v>9.0277777777777787E-3</v>
      </c>
      <c r="H417" s="2">
        <v>1.2500000000000001E-2</v>
      </c>
      <c r="J417">
        <v>7.70287938353965E-2</v>
      </c>
      <c r="K417" t="s">
        <v>797</v>
      </c>
      <c r="L417" t="str">
        <f t="shared" si="18"/>
        <v>37</v>
      </c>
      <c r="M417">
        <f t="shared" si="19"/>
        <v>0</v>
      </c>
      <c r="N417">
        <f t="shared" si="20"/>
        <v>0</v>
      </c>
    </row>
    <row r="418" spans="1:14">
      <c r="A418">
        <v>7425</v>
      </c>
      <c r="B418" t="s">
        <v>1100</v>
      </c>
      <c r="C418" t="s">
        <v>754</v>
      </c>
      <c r="D418" t="s">
        <v>795</v>
      </c>
      <c r="E418">
        <v>301238</v>
      </c>
      <c r="G418" s="2">
        <v>1.2500000000000001E-2</v>
      </c>
      <c r="H418" s="2">
        <v>0.10833333333333334</v>
      </c>
      <c r="J418">
        <v>2.1259947098569398</v>
      </c>
      <c r="K418" t="s">
        <v>796</v>
      </c>
      <c r="L418" t="str">
        <f t="shared" si="18"/>
        <v>37</v>
      </c>
      <c r="M418">
        <f t="shared" si="19"/>
        <v>0</v>
      </c>
      <c r="N418">
        <f t="shared" si="20"/>
        <v>0</v>
      </c>
    </row>
    <row r="419" spans="1:14">
      <c r="A419">
        <v>7425</v>
      </c>
      <c r="B419" t="s">
        <v>1100</v>
      </c>
      <c r="C419" t="s">
        <v>754</v>
      </c>
      <c r="D419" t="s">
        <v>795</v>
      </c>
      <c r="E419">
        <v>301238</v>
      </c>
      <c r="G419" s="2">
        <v>0.10833333333333334</v>
      </c>
      <c r="H419" s="2">
        <v>0.11666666666666665</v>
      </c>
      <c r="J419">
        <v>0.18486910520495101</v>
      </c>
      <c r="K419" t="s">
        <v>797</v>
      </c>
      <c r="L419" t="str">
        <f t="shared" si="18"/>
        <v>37</v>
      </c>
      <c r="M419">
        <f t="shared" si="19"/>
        <v>0</v>
      </c>
      <c r="N419">
        <f t="shared" si="20"/>
        <v>0</v>
      </c>
    </row>
    <row r="420" spans="1:14">
      <c r="A420">
        <v>7558</v>
      </c>
      <c r="B420" t="s">
        <v>1205</v>
      </c>
      <c r="C420" t="s">
        <v>755</v>
      </c>
      <c r="D420" t="s">
        <v>818</v>
      </c>
      <c r="E420">
        <v>338529</v>
      </c>
      <c r="G420" s="2">
        <v>0.57152777777777775</v>
      </c>
      <c r="H420" s="2">
        <v>0.76736111111111116</v>
      </c>
      <c r="J420">
        <v>4.3956726149663199</v>
      </c>
      <c r="K420" t="s">
        <v>759</v>
      </c>
      <c r="L420" t="str">
        <f t="shared" si="18"/>
        <v>33</v>
      </c>
      <c r="M420">
        <f t="shared" si="19"/>
        <v>0</v>
      </c>
      <c r="N420">
        <f t="shared" si="20"/>
        <v>0</v>
      </c>
    </row>
    <row r="421" spans="1:14">
      <c r="A421">
        <v>7558</v>
      </c>
      <c r="B421" t="s">
        <v>1205</v>
      </c>
      <c r="C421" t="s">
        <v>755</v>
      </c>
      <c r="D421" t="s">
        <v>818</v>
      </c>
      <c r="E421">
        <v>338529</v>
      </c>
      <c r="G421" s="2">
        <v>0.76736111111111116</v>
      </c>
      <c r="H421" s="2">
        <v>0.77083333333333337</v>
      </c>
      <c r="J421">
        <v>7.7937457712168798E-2</v>
      </c>
      <c r="K421" t="s">
        <v>798</v>
      </c>
      <c r="L421" t="str">
        <f t="shared" si="18"/>
        <v>33</v>
      </c>
      <c r="M421">
        <f t="shared" si="19"/>
        <v>0</v>
      </c>
      <c r="N421">
        <f t="shared" si="20"/>
        <v>0</v>
      </c>
    </row>
    <row r="422" spans="1:14">
      <c r="A422">
        <v>7558</v>
      </c>
      <c r="B422" t="s">
        <v>1205</v>
      </c>
      <c r="C422" t="s">
        <v>755</v>
      </c>
      <c r="D422" t="s">
        <v>818</v>
      </c>
      <c r="E422">
        <v>338529</v>
      </c>
      <c r="G422" s="2">
        <v>0.77083333333333337</v>
      </c>
      <c r="H422" s="2">
        <v>0.77638888888888891</v>
      </c>
      <c r="J422">
        <v>0.12469993233946899</v>
      </c>
      <c r="K422" t="s">
        <v>834</v>
      </c>
      <c r="L422" t="str">
        <f t="shared" si="18"/>
        <v>33</v>
      </c>
      <c r="M422">
        <f t="shared" si="19"/>
        <v>0</v>
      </c>
      <c r="N422">
        <f t="shared" si="20"/>
        <v>0</v>
      </c>
    </row>
    <row r="423" spans="1:14">
      <c r="A423">
        <v>7558</v>
      </c>
      <c r="B423" t="s">
        <v>1205</v>
      </c>
      <c r="C423" t="s">
        <v>755</v>
      </c>
      <c r="D423" t="s">
        <v>818</v>
      </c>
      <c r="E423">
        <v>338529</v>
      </c>
      <c r="G423" s="2">
        <v>0.77638888888888891</v>
      </c>
      <c r="H423" s="2">
        <v>0.77777777777777779</v>
      </c>
      <c r="J423">
        <v>3.1174983084867498E-2</v>
      </c>
      <c r="K423" t="s">
        <v>798</v>
      </c>
      <c r="L423" t="str">
        <f t="shared" si="18"/>
        <v>33</v>
      </c>
      <c r="M423">
        <f t="shared" si="19"/>
        <v>0</v>
      </c>
      <c r="N423">
        <f t="shared" si="20"/>
        <v>0</v>
      </c>
    </row>
    <row r="424" spans="1:14">
      <c r="A424">
        <v>7558</v>
      </c>
      <c r="B424" t="s">
        <v>1205</v>
      </c>
      <c r="C424" t="s">
        <v>755</v>
      </c>
      <c r="D424" t="s">
        <v>818</v>
      </c>
      <c r="E424">
        <v>338529</v>
      </c>
      <c r="G424" s="2">
        <v>0.77777777777777779</v>
      </c>
      <c r="H424" s="2">
        <v>0.78541666666666676</v>
      </c>
      <c r="J424">
        <v>0.17146240696677101</v>
      </c>
      <c r="K424" t="s">
        <v>834</v>
      </c>
      <c r="L424" t="str">
        <f t="shared" si="18"/>
        <v>33</v>
      </c>
      <c r="M424">
        <f t="shared" si="19"/>
        <v>0</v>
      </c>
      <c r="N424">
        <f t="shared" si="20"/>
        <v>0</v>
      </c>
    </row>
    <row r="425" spans="1:14">
      <c r="A425">
        <v>7558</v>
      </c>
      <c r="B425" t="s">
        <v>1205</v>
      </c>
      <c r="C425" t="s">
        <v>755</v>
      </c>
      <c r="D425" t="s">
        <v>818</v>
      </c>
      <c r="E425">
        <v>338529</v>
      </c>
      <c r="G425" s="2">
        <v>0.78541666666666676</v>
      </c>
      <c r="H425" s="2">
        <v>0.79513888888888884</v>
      </c>
      <c r="J425">
        <v>0.218224881594072</v>
      </c>
      <c r="K425" t="s">
        <v>798</v>
      </c>
      <c r="L425" t="str">
        <f t="shared" si="18"/>
        <v>33</v>
      </c>
      <c r="M425">
        <f t="shared" si="19"/>
        <v>0</v>
      </c>
      <c r="N425">
        <f t="shared" si="20"/>
        <v>0</v>
      </c>
    </row>
    <row r="426" spans="1:14">
      <c r="A426">
        <v>7558</v>
      </c>
      <c r="B426" t="s">
        <v>1205</v>
      </c>
      <c r="C426" t="s">
        <v>755</v>
      </c>
      <c r="D426" t="s">
        <v>818</v>
      </c>
      <c r="E426">
        <v>338529</v>
      </c>
      <c r="G426" s="2">
        <v>0.79513888888888884</v>
      </c>
      <c r="H426" s="2">
        <v>0.85486111111111107</v>
      </c>
      <c r="J426">
        <v>1.3405242726493001</v>
      </c>
      <c r="K426" t="s">
        <v>799</v>
      </c>
      <c r="L426" t="str">
        <f t="shared" si="18"/>
        <v>33</v>
      </c>
      <c r="M426">
        <f t="shared" si="19"/>
        <v>0</v>
      </c>
      <c r="N426">
        <f t="shared" si="20"/>
        <v>0</v>
      </c>
    </row>
    <row r="427" spans="1:14">
      <c r="A427">
        <v>7558</v>
      </c>
      <c r="B427" t="s">
        <v>1205</v>
      </c>
      <c r="C427" t="s">
        <v>755</v>
      </c>
      <c r="D427" t="s">
        <v>818</v>
      </c>
      <c r="E427">
        <v>338529</v>
      </c>
      <c r="G427" s="2">
        <v>0.85486111111111107</v>
      </c>
      <c r="H427" s="2">
        <v>0.85763888888888884</v>
      </c>
      <c r="J427">
        <v>6.2349966169735101E-2</v>
      </c>
      <c r="K427" t="s">
        <v>798</v>
      </c>
      <c r="L427" t="str">
        <f t="shared" si="18"/>
        <v>33</v>
      </c>
      <c r="M427">
        <f t="shared" si="19"/>
        <v>0</v>
      </c>
      <c r="N427">
        <f t="shared" si="20"/>
        <v>0</v>
      </c>
    </row>
    <row r="428" spans="1:14">
      <c r="A428">
        <v>7558</v>
      </c>
      <c r="B428" t="s">
        <v>1205</v>
      </c>
      <c r="C428" t="s">
        <v>755</v>
      </c>
      <c r="D428" t="s">
        <v>818</v>
      </c>
      <c r="E428">
        <v>338529</v>
      </c>
      <c r="G428" s="2">
        <v>0.85763888888888884</v>
      </c>
      <c r="H428" s="2">
        <v>0.89583333333333337</v>
      </c>
      <c r="J428">
        <v>0.85731203483385698</v>
      </c>
      <c r="K428" t="s">
        <v>799</v>
      </c>
      <c r="L428" t="str">
        <f t="shared" si="18"/>
        <v>33</v>
      </c>
      <c r="M428">
        <f t="shared" si="19"/>
        <v>0</v>
      </c>
      <c r="N428">
        <f t="shared" si="20"/>
        <v>0</v>
      </c>
    </row>
    <row r="429" spans="1:14">
      <c r="A429">
        <v>7175</v>
      </c>
      <c r="B429" t="s">
        <v>1206</v>
      </c>
      <c r="C429" t="s">
        <v>755</v>
      </c>
      <c r="D429" t="s">
        <v>818</v>
      </c>
      <c r="E429">
        <v>30228</v>
      </c>
      <c r="G429" s="2">
        <v>0.21736111111111112</v>
      </c>
      <c r="H429" s="2">
        <v>0.41736111111111113</v>
      </c>
      <c r="J429">
        <v>4.7989285714285401</v>
      </c>
      <c r="K429" t="s">
        <v>759</v>
      </c>
      <c r="L429" t="str">
        <f t="shared" si="18"/>
        <v>33</v>
      </c>
      <c r="M429">
        <f t="shared" si="19"/>
        <v>0</v>
      </c>
      <c r="N429">
        <f t="shared" si="20"/>
        <v>0</v>
      </c>
    </row>
    <row r="430" spans="1:14">
      <c r="A430">
        <v>7302</v>
      </c>
      <c r="B430" t="s">
        <v>1101</v>
      </c>
      <c r="C430" t="s">
        <v>754</v>
      </c>
      <c r="D430" t="s">
        <v>823</v>
      </c>
      <c r="E430">
        <v>35254</v>
      </c>
      <c r="G430" s="2">
        <v>0.57708333333333328</v>
      </c>
      <c r="H430" s="2">
        <v>0.87916666666666676</v>
      </c>
      <c r="J430">
        <v>7.25842183321594</v>
      </c>
      <c r="K430" t="s">
        <v>1132</v>
      </c>
      <c r="L430" t="str">
        <f t="shared" si="18"/>
        <v>33</v>
      </c>
      <c r="M430">
        <f t="shared" si="19"/>
        <v>0</v>
      </c>
      <c r="N430">
        <f t="shared" si="20"/>
        <v>0</v>
      </c>
    </row>
    <row r="431" spans="1:14">
      <c r="A431">
        <v>7302</v>
      </c>
      <c r="B431" t="s">
        <v>1101</v>
      </c>
      <c r="C431" t="s">
        <v>754</v>
      </c>
      <c r="D431" t="s">
        <v>823</v>
      </c>
      <c r="E431">
        <v>35254</v>
      </c>
      <c r="G431" s="2">
        <v>0.87916666666666676</v>
      </c>
      <c r="H431" s="2">
        <v>0.97986111111111107</v>
      </c>
      <c r="J431">
        <v>2.4194739444053099</v>
      </c>
      <c r="K431" t="s">
        <v>871</v>
      </c>
      <c r="L431" t="str">
        <f t="shared" si="18"/>
        <v>37</v>
      </c>
      <c r="M431">
        <f t="shared" si="19"/>
        <v>0</v>
      </c>
      <c r="N431">
        <f t="shared" si="20"/>
        <v>0</v>
      </c>
    </row>
    <row r="432" spans="1:14">
      <c r="A432">
        <v>5128</v>
      </c>
      <c r="B432" t="s">
        <v>1207</v>
      </c>
      <c r="C432" t="s">
        <v>1073</v>
      </c>
      <c r="E432">
        <v>5128</v>
      </c>
      <c r="G432" s="2">
        <v>0.5625</v>
      </c>
      <c r="H432" s="2">
        <v>0.62152777777777779</v>
      </c>
      <c r="J432">
        <v>1.4166666666666701</v>
      </c>
      <c r="K432" t="s">
        <v>759</v>
      </c>
      <c r="L432" t="str">
        <f t="shared" si="18"/>
        <v>33</v>
      </c>
      <c r="M432">
        <f t="shared" si="19"/>
        <v>0</v>
      </c>
      <c r="N432">
        <f t="shared" si="20"/>
        <v>0</v>
      </c>
    </row>
    <row r="433" spans="1:14">
      <c r="A433">
        <v>5128</v>
      </c>
      <c r="B433" t="s">
        <v>1207</v>
      </c>
      <c r="C433" t="s">
        <v>1073</v>
      </c>
      <c r="E433">
        <v>5128</v>
      </c>
      <c r="G433" s="2">
        <v>0.62152777777777779</v>
      </c>
      <c r="H433" s="2">
        <v>0.62430555555555556</v>
      </c>
      <c r="J433">
        <v>6.6666666666666693E-2</v>
      </c>
      <c r="K433" t="s">
        <v>760</v>
      </c>
      <c r="L433" t="str">
        <f t="shared" si="18"/>
        <v>33</v>
      </c>
      <c r="M433">
        <f t="shared" si="19"/>
        <v>0</v>
      </c>
      <c r="N433">
        <f t="shared" si="20"/>
        <v>0</v>
      </c>
    </row>
    <row r="434" spans="1:14">
      <c r="A434">
        <v>5128</v>
      </c>
      <c r="B434" t="s">
        <v>1207</v>
      </c>
      <c r="C434" t="s">
        <v>1073</v>
      </c>
      <c r="E434">
        <v>5128</v>
      </c>
      <c r="G434" s="2">
        <v>0.62430555555555556</v>
      </c>
      <c r="H434" s="2">
        <v>0.62569444444444444</v>
      </c>
      <c r="J434">
        <v>3.3333333333333298E-2</v>
      </c>
      <c r="K434" t="s">
        <v>759</v>
      </c>
      <c r="L434" t="str">
        <f t="shared" si="18"/>
        <v>33</v>
      </c>
      <c r="M434">
        <f t="shared" si="19"/>
        <v>0</v>
      </c>
      <c r="N434">
        <f t="shared" si="20"/>
        <v>0</v>
      </c>
    </row>
    <row r="435" spans="1:14">
      <c r="A435">
        <v>5128</v>
      </c>
      <c r="B435" t="s">
        <v>1207</v>
      </c>
      <c r="C435" t="s">
        <v>1073</v>
      </c>
      <c r="E435">
        <v>5128</v>
      </c>
      <c r="G435" s="2">
        <v>0.62569444444444444</v>
      </c>
      <c r="H435" s="2">
        <v>0.64375000000000004</v>
      </c>
      <c r="J435">
        <v>0.43333333333333302</v>
      </c>
      <c r="K435" t="s">
        <v>760</v>
      </c>
      <c r="L435" t="str">
        <f t="shared" si="18"/>
        <v>33</v>
      </c>
      <c r="M435">
        <f t="shared" si="19"/>
        <v>0</v>
      </c>
      <c r="N435">
        <f t="shared" si="20"/>
        <v>0</v>
      </c>
    </row>
    <row r="436" spans="1:14">
      <c r="A436">
        <v>5128</v>
      </c>
      <c r="B436" t="s">
        <v>1207</v>
      </c>
      <c r="C436" t="s">
        <v>1073</v>
      </c>
      <c r="E436">
        <v>5128</v>
      </c>
      <c r="G436" s="2">
        <v>0.64375000000000004</v>
      </c>
      <c r="H436" s="2">
        <v>0.7368055555555556</v>
      </c>
      <c r="J436">
        <v>2.2333333333333298</v>
      </c>
      <c r="K436" t="s">
        <v>759</v>
      </c>
      <c r="L436" t="str">
        <f t="shared" si="18"/>
        <v>33</v>
      </c>
      <c r="M436">
        <f t="shared" si="19"/>
        <v>0</v>
      </c>
      <c r="N436">
        <f t="shared" si="20"/>
        <v>0</v>
      </c>
    </row>
    <row r="437" spans="1:14">
      <c r="A437">
        <v>5128</v>
      </c>
      <c r="B437" t="s">
        <v>1207</v>
      </c>
      <c r="C437" t="s">
        <v>1073</v>
      </c>
      <c r="E437">
        <v>5128</v>
      </c>
      <c r="G437" s="2">
        <v>0.7368055555555556</v>
      </c>
      <c r="H437" s="2">
        <v>0.8125</v>
      </c>
      <c r="J437">
        <v>1.81666666666666</v>
      </c>
      <c r="K437" t="s">
        <v>760</v>
      </c>
      <c r="L437" t="str">
        <f t="shared" si="18"/>
        <v>33</v>
      </c>
      <c r="M437">
        <f t="shared" si="19"/>
        <v>0</v>
      </c>
      <c r="N437">
        <f t="shared" si="20"/>
        <v>0</v>
      </c>
    </row>
    <row r="438" spans="1:14">
      <c r="A438">
        <v>7800</v>
      </c>
      <c r="B438" t="s">
        <v>896</v>
      </c>
      <c r="C438" t="s">
        <v>755</v>
      </c>
      <c r="D438" t="s">
        <v>818</v>
      </c>
      <c r="E438">
        <v>440625</v>
      </c>
      <c r="G438" s="2">
        <v>0.12847222222222224</v>
      </c>
      <c r="H438" s="2">
        <v>0.21319444444444444</v>
      </c>
      <c r="J438">
        <v>1.9154865180704901</v>
      </c>
      <c r="K438" t="s">
        <v>799</v>
      </c>
      <c r="L438" t="str">
        <f t="shared" si="18"/>
        <v>33</v>
      </c>
      <c r="M438">
        <f t="shared" si="19"/>
        <v>0</v>
      </c>
      <c r="N438">
        <f t="shared" si="20"/>
        <v>0</v>
      </c>
    </row>
    <row r="439" spans="1:14">
      <c r="A439">
        <v>7800</v>
      </c>
      <c r="B439" t="s">
        <v>896</v>
      </c>
      <c r="C439" t="s">
        <v>755</v>
      </c>
      <c r="D439" t="s">
        <v>818</v>
      </c>
      <c r="E439">
        <v>440625</v>
      </c>
      <c r="G439" s="2">
        <v>0.21319444444444444</v>
      </c>
      <c r="H439" s="2">
        <v>0.21527777777777779</v>
      </c>
      <c r="J439">
        <v>4.7102127493536802E-2</v>
      </c>
      <c r="K439" t="s">
        <v>798</v>
      </c>
      <c r="L439" t="str">
        <f t="shared" si="18"/>
        <v>33</v>
      </c>
      <c r="M439">
        <f t="shared" si="19"/>
        <v>0</v>
      </c>
      <c r="N439">
        <f t="shared" si="20"/>
        <v>0</v>
      </c>
    </row>
    <row r="440" spans="1:14">
      <c r="A440">
        <v>7800</v>
      </c>
      <c r="B440" t="s">
        <v>896</v>
      </c>
      <c r="C440" t="s">
        <v>755</v>
      </c>
      <c r="D440" t="s">
        <v>818</v>
      </c>
      <c r="E440">
        <v>440625</v>
      </c>
      <c r="G440" s="2">
        <v>0.21527777777777779</v>
      </c>
      <c r="H440" s="2">
        <v>0.23402777777777781</v>
      </c>
      <c r="J440">
        <v>0.42391914744183101</v>
      </c>
      <c r="K440" t="s">
        <v>800</v>
      </c>
      <c r="L440" t="str">
        <f t="shared" si="18"/>
        <v>33</v>
      </c>
      <c r="M440">
        <f t="shared" si="19"/>
        <v>0</v>
      </c>
      <c r="N440">
        <f t="shared" si="20"/>
        <v>0</v>
      </c>
    </row>
    <row r="441" spans="1:14">
      <c r="A441">
        <v>7800</v>
      </c>
      <c r="B441" t="s">
        <v>896</v>
      </c>
      <c r="C441" t="s">
        <v>755</v>
      </c>
      <c r="D441" t="s">
        <v>818</v>
      </c>
      <c r="E441">
        <v>440625</v>
      </c>
      <c r="G441" s="2">
        <v>0.23402777777777781</v>
      </c>
      <c r="H441" s="2">
        <v>0.32361111111111113</v>
      </c>
      <c r="J441">
        <v>2.02539148222208</v>
      </c>
      <c r="K441" t="s">
        <v>799</v>
      </c>
      <c r="L441" t="str">
        <f t="shared" si="18"/>
        <v>33</v>
      </c>
      <c r="M441">
        <f t="shared" si="19"/>
        <v>0</v>
      </c>
      <c r="N441">
        <f t="shared" si="20"/>
        <v>0</v>
      </c>
    </row>
    <row r="442" spans="1:14">
      <c r="A442">
        <v>7800</v>
      </c>
      <c r="B442" t="s">
        <v>896</v>
      </c>
      <c r="C442" t="s">
        <v>755</v>
      </c>
      <c r="D442" t="s">
        <v>818</v>
      </c>
      <c r="E442">
        <v>440625</v>
      </c>
      <c r="G442" s="2">
        <v>0.32361111111111113</v>
      </c>
      <c r="H442" s="2">
        <v>0.42222222222222222</v>
      </c>
      <c r="J442">
        <v>2.22950070136074</v>
      </c>
      <c r="K442" t="s">
        <v>759</v>
      </c>
      <c r="L442" t="str">
        <f t="shared" si="18"/>
        <v>33</v>
      </c>
      <c r="M442">
        <f t="shared" si="19"/>
        <v>0</v>
      </c>
      <c r="N442">
        <f t="shared" si="20"/>
        <v>0</v>
      </c>
    </row>
    <row r="443" spans="1:14">
      <c r="A443">
        <v>7800</v>
      </c>
      <c r="B443" t="s">
        <v>896</v>
      </c>
      <c r="C443" t="s">
        <v>755</v>
      </c>
      <c r="D443" t="s">
        <v>818</v>
      </c>
      <c r="E443">
        <v>440625</v>
      </c>
      <c r="G443" s="2">
        <v>0.42222222222222222</v>
      </c>
      <c r="H443" s="2">
        <v>0.47916666666666669</v>
      </c>
      <c r="J443">
        <v>1.2874581514900001</v>
      </c>
      <c r="K443" t="s">
        <v>1081</v>
      </c>
      <c r="L443" t="str">
        <f t="shared" si="18"/>
        <v>33</v>
      </c>
      <c r="M443">
        <f t="shared" si="19"/>
        <v>0</v>
      </c>
      <c r="N443">
        <f t="shared" si="20"/>
        <v>0</v>
      </c>
    </row>
    <row r="444" spans="1:14">
      <c r="A444">
        <v>7504</v>
      </c>
      <c r="B444" t="s">
        <v>1102</v>
      </c>
      <c r="C444" t="s">
        <v>754</v>
      </c>
      <c r="D444">
        <v>65</v>
      </c>
      <c r="E444">
        <v>333294</v>
      </c>
      <c r="G444" s="2">
        <v>0.20624999999999999</v>
      </c>
      <c r="H444" s="2">
        <v>0.20624999999999999</v>
      </c>
      <c r="I444" s="2">
        <v>0.59444444444444444</v>
      </c>
      <c r="J444">
        <v>9.31666666666667</v>
      </c>
      <c r="K444" t="s">
        <v>928</v>
      </c>
      <c r="L444" t="str">
        <f t="shared" si="18"/>
        <v>65</v>
      </c>
      <c r="M444">
        <f t="shared" si="19"/>
        <v>0.38819444444444445</v>
      </c>
      <c r="N444">
        <f t="shared" si="20"/>
        <v>9.3166666666666664</v>
      </c>
    </row>
    <row r="445" spans="1:14">
      <c r="A445">
        <v>7576</v>
      </c>
      <c r="B445" t="s">
        <v>897</v>
      </c>
      <c r="C445" t="s">
        <v>755</v>
      </c>
      <c r="D445">
        <v>65</v>
      </c>
      <c r="E445">
        <v>141853</v>
      </c>
      <c r="G445" s="2">
        <v>0.37847222222222227</v>
      </c>
      <c r="H445" s="2">
        <v>0.46111111111111108</v>
      </c>
      <c r="J445">
        <v>1.98795530726253</v>
      </c>
      <c r="K445" t="s">
        <v>759</v>
      </c>
      <c r="L445" t="str">
        <f t="shared" si="18"/>
        <v>33</v>
      </c>
      <c r="M445">
        <f t="shared" si="19"/>
        <v>0</v>
      </c>
      <c r="N445">
        <f t="shared" si="20"/>
        <v>0</v>
      </c>
    </row>
    <row r="446" spans="1:14">
      <c r="A446">
        <v>7576</v>
      </c>
      <c r="B446" t="s">
        <v>897</v>
      </c>
      <c r="C446" t="s">
        <v>755</v>
      </c>
      <c r="D446">
        <v>65</v>
      </c>
      <c r="E446">
        <v>141853</v>
      </c>
      <c r="G446" s="2">
        <v>0.46111111111111108</v>
      </c>
      <c r="H446" s="2">
        <v>0.62708333333333333</v>
      </c>
      <c r="J446">
        <v>3.9926161213087901</v>
      </c>
      <c r="K446" t="s">
        <v>891</v>
      </c>
      <c r="L446" t="str">
        <f t="shared" si="18"/>
        <v>65</v>
      </c>
      <c r="M446">
        <f t="shared" si="19"/>
        <v>0</v>
      </c>
      <c r="N446">
        <f t="shared" si="20"/>
        <v>0</v>
      </c>
    </row>
    <row r="447" spans="1:14">
      <c r="A447">
        <v>5299</v>
      </c>
      <c r="B447" t="s">
        <v>1103</v>
      </c>
      <c r="C447" t="s">
        <v>1073</v>
      </c>
      <c r="E447">
        <v>5299</v>
      </c>
      <c r="G447" s="2">
        <v>0.21875</v>
      </c>
      <c r="H447" s="2">
        <v>0.46875</v>
      </c>
      <c r="J447">
        <v>6</v>
      </c>
      <c r="K447" t="s">
        <v>759</v>
      </c>
      <c r="L447" t="str">
        <f t="shared" si="18"/>
        <v>33</v>
      </c>
      <c r="M447">
        <f t="shared" si="19"/>
        <v>0</v>
      </c>
      <c r="N447">
        <f t="shared" si="20"/>
        <v>0</v>
      </c>
    </row>
    <row r="448" spans="1:14">
      <c r="A448">
        <v>7372</v>
      </c>
      <c r="B448" t="s">
        <v>898</v>
      </c>
      <c r="C448" t="s">
        <v>754</v>
      </c>
      <c r="D448" t="s">
        <v>775</v>
      </c>
      <c r="E448">
        <v>38310</v>
      </c>
      <c r="G448" s="2">
        <v>0.20833333333333334</v>
      </c>
      <c r="H448" s="2">
        <v>0.58333333333333337</v>
      </c>
      <c r="J448">
        <v>8.4950885292046507</v>
      </c>
      <c r="K448" t="s">
        <v>810</v>
      </c>
      <c r="L448" t="str">
        <f t="shared" si="18"/>
        <v>15</v>
      </c>
      <c r="M448">
        <f t="shared" si="19"/>
        <v>0</v>
      </c>
      <c r="N448">
        <f t="shared" si="20"/>
        <v>0</v>
      </c>
    </row>
    <row r="449" spans="1:14">
      <c r="A449">
        <v>7093</v>
      </c>
      <c r="B449" t="s">
        <v>1208</v>
      </c>
      <c r="C449" t="s">
        <v>754</v>
      </c>
      <c r="D449" t="s">
        <v>775</v>
      </c>
      <c r="E449">
        <v>18973</v>
      </c>
      <c r="G449" s="2">
        <v>8.3333333333333329E-2</v>
      </c>
      <c r="H449" s="2">
        <v>0.25</v>
      </c>
      <c r="J449">
        <v>3.7647058823529398</v>
      </c>
      <c r="K449" t="s">
        <v>793</v>
      </c>
      <c r="L449" t="str">
        <f t="shared" si="18"/>
        <v>33</v>
      </c>
      <c r="M449">
        <f t="shared" si="19"/>
        <v>0</v>
      </c>
      <c r="N449">
        <f t="shared" si="20"/>
        <v>0</v>
      </c>
    </row>
    <row r="450" spans="1:14">
      <c r="A450">
        <v>7093</v>
      </c>
      <c r="B450" t="s">
        <v>1208</v>
      </c>
      <c r="C450" t="s">
        <v>754</v>
      </c>
      <c r="D450" t="s">
        <v>775</v>
      </c>
      <c r="E450">
        <v>18973</v>
      </c>
      <c r="G450" s="2">
        <v>0.25</v>
      </c>
      <c r="H450" s="2">
        <v>0.33333333333333331</v>
      </c>
      <c r="J450">
        <v>1.8823529411764699</v>
      </c>
      <c r="K450" t="s">
        <v>776</v>
      </c>
      <c r="L450" t="str">
        <f t="shared" ref="L450:L513" si="21">RIGHT(LEFT(K450,4),2)</f>
        <v>37</v>
      </c>
      <c r="M450">
        <f t="shared" ref="M450:M513" si="22">IF(I450=0,0,I450-H450)+IF(F450=0,0,G450-F450)</f>
        <v>0</v>
      </c>
      <c r="N450">
        <f t="shared" ref="N450:N513" si="23">(M450-INT(M450))*24</f>
        <v>0</v>
      </c>
    </row>
    <row r="451" spans="1:14">
      <c r="A451">
        <v>7093</v>
      </c>
      <c r="B451" t="s">
        <v>1208</v>
      </c>
      <c r="C451" t="s">
        <v>754</v>
      </c>
      <c r="D451" t="s">
        <v>775</v>
      </c>
      <c r="E451">
        <v>18973</v>
      </c>
      <c r="G451" s="2">
        <v>0.33333333333333331</v>
      </c>
      <c r="H451" s="2">
        <v>0.4375</v>
      </c>
      <c r="J451">
        <v>2.3529411764705799</v>
      </c>
      <c r="K451" t="s">
        <v>884</v>
      </c>
      <c r="L451" t="str">
        <f t="shared" si="21"/>
        <v>46</v>
      </c>
      <c r="M451">
        <f t="shared" si="22"/>
        <v>0</v>
      </c>
      <c r="N451">
        <f t="shared" si="23"/>
        <v>0</v>
      </c>
    </row>
    <row r="452" spans="1:14">
      <c r="A452">
        <v>7320</v>
      </c>
      <c r="B452" t="s">
        <v>899</v>
      </c>
      <c r="C452" t="s">
        <v>754</v>
      </c>
      <c r="D452" t="s">
        <v>757</v>
      </c>
      <c r="E452">
        <v>275392</v>
      </c>
      <c r="G452" s="2">
        <v>0.21180555555555555</v>
      </c>
      <c r="H452" s="2">
        <v>0.22708333333333333</v>
      </c>
      <c r="J452">
        <v>0.34409125789843498</v>
      </c>
      <c r="K452" t="s">
        <v>798</v>
      </c>
      <c r="L452" t="str">
        <f t="shared" si="21"/>
        <v>33</v>
      </c>
      <c r="M452">
        <f t="shared" si="22"/>
        <v>0</v>
      </c>
      <c r="N452">
        <f t="shared" si="23"/>
        <v>0</v>
      </c>
    </row>
    <row r="453" spans="1:14">
      <c r="A453">
        <v>7320</v>
      </c>
      <c r="B453" t="s">
        <v>899</v>
      </c>
      <c r="C453" t="s">
        <v>754</v>
      </c>
      <c r="D453" t="s">
        <v>757</v>
      </c>
      <c r="E453">
        <v>275392</v>
      </c>
      <c r="G453" s="2">
        <v>0.22708333333333333</v>
      </c>
      <c r="H453" s="2">
        <v>0.23472222222222219</v>
      </c>
      <c r="J453">
        <v>0.17204562894921699</v>
      </c>
      <c r="K453" t="s">
        <v>812</v>
      </c>
      <c r="L453" t="str">
        <f t="shared" si="21"/>
        <v>33</v>
      </c>
      <c r="M453">
        <f t="shared" si="22"/>
        <v>0</v>
      </c>
      <c r="N453">
        <f t="shared" si="23"/>
        <v>0</v>
      </c>
    </row>
    <row r="454" spans="1:14">
      <c r="A454">
        <v>7320</v>
      </c>
      <c r="B454" t="s">
        <v>899</v>
      </c>
      <c r="C454" t="s">
        <v>754</v>
      </c>
      <c r="D454" t="s">
        <v>757</v>
      </c>
      <c r="E454">
        <v>275392</v>
      </c>
      <c r="G454" s="2">
        <v>0.23472222222222219</v>
      </c>
      <c r="H454" s="2">
        <v>0.23611111111111113</v>
      </c>
      <c r="J454">
        <v>3.1281023445312202E-2</v>
      </c>
      <c r="K454" t="s">
        <v>798</v>
      </c>
      <c r="L454" t="str">
        <f t="shared" si="21"/>
        <v>33</v>
      </c>
      <c r="M454">
        <f t="shared" si="22"/>
        <v>0</v>
      </c>
      <c r="N454">
        <f t="shared" si="23"/>
        <v>0</v>
      </c>
    </row>
    <row r="455" spans="1:14">
      <c r="A455">
        <v>7320</v>
      </c>
      <c r="B455" t="s">
        <v>899</v>
      </c>
      <c r="C455" t="s">
        <v>754</v>
      </c>
      <c r="D455" t="s">
        <v>757</v>
      </c>
      <c r="E455">
        <v>275392</v>
      </c>
      <c r="G455" s="2">
        <v>0.23611111111111113</v>
      </c>
      <c r="H455" s="2">
        <v>0.26250000000000001</v>
      </c>
      <c r="J455">
        <v>0.59433944546093298</v>
      </c>
      <c r="K455" t="s">
        <v>812</v>
      </c>
      <c r="L455" t="str">
        <f t="shared" si="21"/>
        <v>33</v>
      </c>
      <c r="M455">
        <f t="shared" si="22"/>
        <v>0</v>
      </c>
      <c r="N455">
        <f t="shared" si="23"/>
        <v>0</v>
      </c>
    </row>
    <row r="456" spans="1:14">
      <c r="A456">
        <v>7320</v>
      </c>
      <c r="B456" t="s">
        <v>899</v>
      </c>
      <c r="C456" t="s">
        <v>754</v>
      </c>
      <c r="D456" t="s">
        <v>757</v>
      </c>
      <c r="E456">
        <v>275392</v>
      </c>
      <c r="G456" s="2">
        <v>0.26250000000000001</v>
      </c>
      <c r="H456" s="2">
        <v>0.28472222222222221</v>
      </c>
      <c r="J456">
        <v>0.50049637512499601</v>
      </c>
      <c r="K456" t="s">
        <v>798</v>
      </c>
      <c r="L456" t="str">
        <f t="shared" si="21"/>
        <v>33</v>
      </c>
      <c r="M456">
        <f t="shared" si="22"/>
        <v>0</v>
      </c>
      <c r="N456">
        <f t="shared" si="23"/>
        <v>0</v>
      </c>
    </row>
    <row r="457" spans="1:14">
      <c r="A457">
        <v>7320</v>
      </c>
      <c r="B457" t="s">
        <v>899</v>
      </c>
      <c r="C457" t="s">
        <v>754</v>
      </c>
      <c r="D457" t="s">
        <v>757</v>
      </c>
      <c r="E457">
        <v>275392</v>
      </c>
      <c r="G457" s="2">
        <v>0.28472222222222221</v>
      </c>
      <c r="H457" s="2">
        <v>0.29236111111111113</v>
      </c>
      <c r="J457">
        <v>0.17204562894921699</v>
      </c>
      <c r="K457" t="s">
        <v>812</v>
      </c>
      <c r="L457" t="str">
        <f t="shared" si="21"/>
        <v>33</v>
      </c>
      <c r="M457">
        <f t="shared" si="22"/>
        <v>0</v>
      </c>
      <c r="N457">
        <f t="shared" si="23"/>
        <v>0</v>
      </c>
    </row>
    <row r="458" spans="1:14">
      <c r="A458">
        <v>7320</v>
      </c>
      <c r="B458" t="s">
        <v>899</v>
      </c>
      <c r="C458" t="s">
        <v>754</v>
      </c>
      <c r="D458" t="s">
        <v>757</v>
      </c>
      <c r="E458">
        <v>275392</v>
      </c>
      <c r="G458" s="2">
        <v>0.29236111111111113</v>
      </c>
      <c r="H458" s="2">
        <v>0.43472222222222223</v>
      </c>
      <c r="J458">
        <v>3.2063049031445101</v>
      </c>
      <c r="K458" t="s">
        <v>799</v>
      </c>
      <c r="L458" t="str">
        <f t="shared" si="21"/>
        <v>33</v>
      </c>
      <c r="M458">
        <f t="shared" si="22"/>
        <v>0</v>
      </c>
      <c r="N458">
        <f t="shared" si="23"/>
        <v>0</v>
      </c>
    </row>
    <row r="459" spans="1:14">
      <c r="A459">
        <v>7320</v>
      </c>
      <c r="B459" t="s">
        <v>899</v>
      </c>
      <c r="C459" t="s">
        <v>754</v>
      </c>
      <c r="D459" t="s">
        <v>757</v>
      </c>
      <c r="E459">
        <v>275392</v>
      </c>
      <c r="G459" s="2">
        <v>0.43472222222222223</v>
      </c>
      <c r="H459" s="2">
        <v>0.47291666666666665</v>
      </c>
      <c r="J459">
        <v>0.860228144746087</v>
      </c>
      <c r="K459" t="s">
        <v>798</v>
      </c>
      <c r="L459" t="str">
        <f t="shared" si="21"/>
        <v>33</v>
      </c>
      <c r="M459">
        <f t="shared" si="22"/>
        <v>0</v>
      </c>
      <c r="N459">
        <f t="shared" si="23"/>
        <v>0</v>
      </c>
    </row>
    <row r="460" spans="1:14">
      <c r="A460">
        <v>7320</v>
      </c>
      <c r="B460" t="s">
        <v>899</v>
      </c>
      <c r="C460" t="s">
        <v>754</v>
      </c>
      <c r="D460" t="s">
        <v>757</v>
      </c>
      <c r="E460">
        <v>275392</v>
      </c>
      <c r="G460" s="2">
        <v>0.47291666666666665</v>
      </c>
      <c r="H460" s="2">
        <v>0.47916666666666669</v>
      </c>
      <c r="J460">
        <v>0.14076460550390499</v>
      </c>
      <c r="K460" t="s">
        <v>813</v>
      </c>
      <c r="L460" t="str">
        <f t="shared" si="21"/>
        <v>33</v>
      </c>
      <c r="M460">
        <f t="shared" si="22"/>
        <v>0</v>
      </c>
      <c r="N460">
        <f t="shared" si="23"/>
        <v>0</v>
      </c>
    </row>
    <row r="461" spans="1:14">
      <c r="A461">
        <v>7320</v>
      </c>
      <c r="B461" t="s">
        <v>899</v>
      </c>
      <c r="C461" t="s">
        <v>754</v>
      </c>
      <c r="D461" t="s">
        <v>757</v>
      </c>
      <c r="E461">
        <v>275392</v>
      </c>
      <c r="G461" s="2">
        <v>0.47916666666666669</v>
      </c>
      <c r="H461" s="2">
        <v>0.48749999999999999</v>
      </c>
      <c r="J461">
        <v>0.187686140671873</v>
      </c>
      <c r="K461" t="s">
        <v>798</v>
      </c>
      <c r="L461" t="str">
        <f t="shared" si="21"/>
        <v>33</v>
      </c>
      <c r="M461">
        <f t="shared" si="22"/>
        <v>0</v>
      </c>
      <c r="N461">
        <f t="shared" si="23"/>
        <v>0</v>
      </c>
    </row>
    <row r="462" spans="1:14">
      <c r="A462">
        <v>7320</v>
      </c>
      <c r="B462" t="s">
        <v>899</v>
      </c>
      <c r="C462" t="s">
        <v>754</v>
      </c>
      <c r="D462" t="s">
        <v>757</v>
      </c>
      <c r="E462">
        <v>275392</v>
      </c>
      <c r="G462" s="2">
        <v>0.48749999999999999</v>
      </c>
      <c r="H462" s="2">
        <v>0.4993055555555555</v>
      </c>
      <c r="J462">
        <v>0.26588869928515402</v>
      </c>
      <c r="K462" t="s">
        <v>813</v>
      </c>
      <c r="L462" t="str">
        <f t="shared" si="21"/>
        <v>33</v>
      </c>
      <c r="M462">
        <f t="shared" si="22"/>
        <v>0</v>
      </c>
      <c r="N462">
        <f t="shared" si="23"/>
        <v>0</v>
      </c>
    </row>
    <row r="463" spans="1:14">
      <c r="A463">
        <v>7320</v>
      </c>
      <c r="B463" t="s">
        <v>899</v>
      </c>
      <c r="C463" t="s">
        <v>754</v>
      </c>
      <c r="D463" t="s">
        <v>757</v>
      </c>
      <c r="E463">
        <v>275392</v>
      </c>
      <c r="G463" s="2">
        <v>0.4993055555555555</v>
      </c>
      <c r="H463" s="2">
        <v>0.51458333333333328</v>
      </c>
      <c r="J463">
        <v>0.34409125789843498</v>
      </c>
      <c r="K463" t="s">
        <v>798</v>
      </c>
      <c r="L463" t="str">
        <f t="shared" si="21"/>
        <v>33</v>
      </c>
      <c r="M463">
        <f t="shared" si="22"/>
        <v>0</v>
      </c>
      <c r="N463">
        <f t="shared" si="23"/>
        <v>0</v>
      </c>
    </row>
    <row r="464" spans="1:14">
      <c r="A464">
        <v>7320</v>
      </c>
      <c r="B464" t="s">
        <v>899</v>
      </c>
      <c r="C464" t="s">
        <v>754</v>
      </c>
      <c r="D464" t="s">
        <v>757</v>
      </c>
      <c r="E464">
        <v>275392</v>
      </c>
      <c r="G464" s="2">
        <v>0.51458333333333328</v>
      </c>
      <c r="H464" s="2">
        <v>0.54166666666666663</v>
      </c>
      <c r="J464">
        <v>0.60997995718358899</v>
      </c>
      <c r="K464" t="s">
        <v>813</v>
      </c>
      <c r="L464" t="str">
        <f t="shared" si="21"/>
        <v>33</v>
      </c>
      <c r="M464">
        <f t="shared" si="22"/>
        <v>0</v>
      </c>
      <c r="N464">
        <f t="shared" si="23"/>
        <v>0</v>
      </c>
    </row>
    <row r="465" spans="1:14">
      <c r="A465">
        <v>7016</v>
      </c>
      <c r="B465" t="s">
        <v>1104</v>
      </c>
      <c r="C465" t="s">
        <v>755</v>
      </c>
      <c r="D465" t="s">
        <v>818</v>
      </c>
      <c r="E465">
        <v>905327</v>
      </c>
      <c r="G465" s="2">
        <v>0.50069444444444444</v>
      </c>
      <c r="H465" s="2">
        <v>0.61875000000000002</v>
      </c>
      <c r="J465">
        <v>2.8318258109828398</v>
      </c>
      <c r="K465" t="s">
        <v>759</v>
      </c>
      <c r="L465" t="str">
        <f t="shared" si="21"/>
        <v>33</v>
      </c>
      <c r="M465">
        <f t="shared" si="22"/>
        <v>0</v>
      </c>
      <c r="N465">
        <f t="shared" si="23"/>
        <v>0</v>
      </c>
    </row>
    <row r="466" spans="1:14">
      <c r="A466">
        <v>7016</v>
      </c>
      <c r="B466" t="s">
        <v>1104</v>
      </c>
      <c r="C466" t="s">
        <v>755</v>
      </c>
      <c r="D466" t="s">
        <v>818</v>
      </c>
      <c r="E466">
        <v>905327</v>
      </c>
      <c r="G466" s="2">
        <v>0.61875000000000002</v>
      </c>
      <c r="H466" s="2">
        <v>0.66527777777777775</v>
      </c>
      <c r="J466">
        <v>1.1160725255049999</v>
      </c>
      <c r="K466" t="s">
        <v>773</v>
      </c>
      <c r="L466" t="str">
        <f t="shared" si="21"/>
        <v>33</v>
      </c>
      <c r="M466">
        <f t="shared" si="22"/>
        <v>0</v>
      </c>
      <c r="N466">
        <f t="shared" si="23"/>
        <v>0</v>
      </c>
    </row>
    <row r="467" spans="1:14">
      <c r="A467">
        <v>7016</v>
      </c>
      <c r="B467" t="s">
        <v>1104</v>
      </c>
      <c r="C467" t="s">
        <v>755</v>
      </c>
      <c r="D467" t="s">
        <v>818</v>
      </c>
      <c r="E467">
        <v>905327</v>
      </c>
      <c r="G467" s="2">
        <v>0.66527777777777775</v>
      </c>
      <c r="H467" s="2">
        <v>0.85416666666666663</v>
      </c>
      <c r="I467" s="2">
        <v>0.96527777777777779</v>
      </c>
      <c r="J467">
        <v>7.1975879642392204</v>
      </c>
      <c r="K467" t="s">
        <v>842</v>
      </c>
      <c r="L467" t="str">
        <f t="shared" si="21"/>
        <v>33</v>
      </c>
      <c r="M467">
        <f t="shared" si="22"/>
        <v>0.11111111111111116</v>
      </c>
      <c r="N467">
        <f t="shared" si="23"/>
        <v>2.6666666666666679</v>
      </c>
    </row>
    <row r="468" spans="1:14">
      <c r="A468">
        <v>7191</v>
      </c>
      <c r="B468" t="s">
        <v>900</v>
      </c>
      <c r="C468" t="s">
        <v>754</v>
      </c>
      <c r="D468" t="s">
        <v>775</v>
      </c>
      <c r="E468">
        <v>258586</v>
      </c>
      <c r="G468" s="2">
        <v>0.29166666666666669</v>
      </c>
      <c r="H468" s="2">
        <v>0.64583333333333337</v>
      </c>
      <c r="J468">
        <v>8</v>
      </c>
      <c r="K468" t="s">
        <v>884</v>
      </c>
      <c r="L468" t="str">
        <f t="shared" si="21"/>
        <v>46</v>
      </c>
      <c r="M468">
        <f t="shared" si="22"/>
        <v>0</v>
      </c>
      <c r="N468">
        <f t="shared" si="23"/>
        <v>0</v>
      </c>
    </row>
    <row r="469" spans="1:14">
      <c r="A469">
        <v>4200</v>
      </c>
      <c r="B469" t="s">
        <v>1209</v>
      </c>
      <c r="C469" t="s">
        <v>756</v>
      </c>
      <c r="E469">
        <v>936597</v>
      </c>
      <c r="G469" s="2">
        <v>0.57013888888888886</v>
      </c>
      <c r="H469" s="2">
        <v>0.66249999999999998</v>
      </c>
      <c r="J469">
        <v>2.2220472779369298</v>
      </c>
      <c r="K469" t="s">
        <v>759</v>
      </c>
      <c r="L469" t="str">
        <f t="shared" si="21"/>
        <v>33</v>
      </c>
      <c r="M469">
        <f t="shared" si="22"/>
        <v>0</v>
      </c>
      <c r="N469">
        <f t="shared" si="23"/>
        <v>0</v>
      </c>
    </row>
    <row r="470" spans="1:14">
      <c r="A470">
        <v>4200</v>
      </c>
      <c r="B470" t="s">
        <v>1209</v>
      </c>
      <c r="C470" t="s">
        <v>756</v>
      </c>
      <c r="E470">
        <v>936597</v>
      </c>
      <c r="G470" s="2">
        <v>0.66249999999999998</v>
      </c>
      <c r="H470" s="2">
        <v>0.75694444444444453</v>
      </c>
      <c r="J470">
        <v>2.2721686451084402</v>
      </c>
      <c r="K470" t="s">
        <v>773</v>
      </c>
      <c r="L470" t="str">
        <f t="shared" si="21"/>
        <v>33</v>
      </c>
      <c r="M470">
        <f t="shared" si="22"/>
        <v>0</v>
      </c>
      <c r="N470">
        <f t="shared" si="23"/>
        <v>0</v>
      </c>
    </row>
    <row r="471" spans="1:14">
      <c r="A471">
        <v>4200</v>
      </c>
      <c r="B471" t="s">
        <v>1209</v>
      </c>
      <c r="C471" t="s">
        <v>756</v>
      </c>
      <c r="E471">
        <v>936597</v>
      </c>
      <c r="G471" s="2">
        <v>0.75694444444444453</v>
      </c>
      <c r="H471" s="2">
        <v>0.8125</v>
      </c>
      <c r="J471">
        <v>1.3365697912402501</v>
      </c>
      <c r="K471" t="s">
        <v>760</v>
      </c>
      <c r="L471" t="str">
        <f t="shared" si="21"/>
        <v>33</v>
      </c>
      <c r="M471">
        <f t="shared" si="22"/>
        <v>0</v>
      </c>
      <c r="N471">
        <f t="shared" si="23"/>
        <v>0</v>
      </c>
    </row>
    <row r="472" spans="1:14">
      <c r="A472">
        <v>7892</v>
      </c>
      <c r="B472" t="s">
        <v>901</v>
      </c>
      <c r="C472" t="s">
        <v>756</v>
      </c>
      <c r="E472">
        <v>535841</v>
      </c>
      <c r="G472" s="2">
        <v>0.22222222222222221</v>
      </c>
      <c r="H472" s="2">
        <v>0.23680555555555557</v>
      </c>
      <c r="J472">
        <v>0.32845074617577802</v>
      </c>
      <c r="K472" t="s">
        <v>798</v>
      </c>
      <c r="L472" t="str">
        <f t="shared" si="21"/>
        <v>33</v>
      </c>
      <c r="M472">
        <f t="shared" si="22"/>
        <v>0</v>
      </c>
      <c r="N472">
        <f t="shared" si="23"/>
        <v>0</v>
      </c>
    </row>
    <row r="473" spans="1:14">
      <c r="A473">
        <v>7892</v>
      </c>
      <c r="B473" t="s">
        <v>901</v>
      </c>
      <c r="C473" t="s">
        <v>756</v>
      </c>
      <c r="E473">
        <v>535841</v>
      </c>
      <c r="G473" s="2">
        <v>0.23680555555555557</v>
      </c>
      <c r="H473" s="2">
        <v>0.24166666666666667</v>
      </c>
      <c r="J473">
        <v>0.109483582058593</v>
      </c>
      <c r="K473" t="s">
        <v>806</v>
      </c>
      <c r="L473" t="str">
        <f t="shared" si="21"/>
        <v>33</v>
      </c>
      <c r="M473">
        <f t="shared" si="22"/>
        <v>0</v>
      </c>
      <c r="N473">
        <f t="shared" si="23"/>
        <v>0</v>
      </c>
    </row>
    <row r="474" spans="1:14">
      <c r="A474">
        <v>7892</v>
      </c>
      <c r="B474" t="s">
        <v>901</v>
      </c>
      <c r="C474" t="s">
        <v>756</v>
      </c>
      <c r="E474">
        <v>535841</v>
      </c>
      <c r="G474" s="2">
        <v>0.24166666666666667</v>
      </c>
      <c r="H474" s="2">
        <v>0.24444444444444446</v>
      </c>
      <c r="J474">
        <v>6.2562046890624501E-2</v>
      </c>
      <c r="K474" t="s">
        <v>798</v>
      </c>
      <c r="L474" t="str">
        <f t="shared" si="21"/>
        <v>33</v>
      </c>
      <c r="M474">
        <f t="shared" si="22"/>
        <v>0</v>
      </c>
      <c r="N474">
        <f t="shared" si="23"/>
        <v>0</v>
      </c>
    </row>
    <row r="475" spans="1:14">
      <c r="A475">
        <v>7892</v>
      </c>
      <c r="B475" t="s">
        <v>901</v>
      </c>
      <c r="C475" t="s">
        <v>756</v>
      </c>
      <c r="E475">
        <v>535841</v>
      </c>
      <c r="G475" s="2">
        <v>0.24444444444444446</v>
      </c>
      <c r="H475" s="2">
        <v>0.24861111111111112</v>
      </c>
      <c r="J475">
        <v>9.3843070335936807E-2</v>
      </c>
      <c r="K475" t="s">
        <v>806</v>
      </c>
      <c r="L475" t="str">
        <f t="shared" si="21"/>
        <v>33</v>
      </c>
      <c r="M475">
        <f t="shared" si="22"/>
        <v>0</v>
      </c>
      <c r="N475">
        <f t="shared" si="23"/>
        <v>0</v>
      </c>
    </row>
    <row r="476" spans="1:14">
      <c r="A476">
        <v>7892</v>
      </c>
      <c r="B476" t="s">
        <v>901</v>
      </c>
      <c r="C476" t="s">
        <v>756</v>
      </c>
      <c r="E476">
        <v>535841</v>
      </c>
      <c r="G476" s="2">
        <v>0.24861111111111112</v>
      </c>
      <c r="H476" s="2">
        <v>0.25069444444444444</v>
      </c>
      <c r="J476">
        <v>4.6921535167968403E-2</v>
      </c>
      <c r="K476" t="s">
        <v>798</v>
      </c>
      <c r="L476" t="str">
        <f t="shared" si="21"/>
        <v>33</v>
      </c>
      <c r="M476">
        <f t="shared" si="22"/>
        <v>0</v>
      </c>
      <c r="N476">
        <f t="shared" si="23"/>
        <v>0</v>
      </c>
    </row>
    <row r="477" spans="1:14">
      <c r="A477">
        <v>7892</v>
      </c>
      <c r="B477" t="s">
        <v>901</v>
      </c>
      <c r="C477" t="s">
        <v>756</v>
      </c>
      <c r="E477">
        <v>535841</v>
      </c>
      <c r="G477" s="2">
        <v>0.25069444444444444</v>
      </c>
      <c r="H477" s="2">
        <v>0.2590277777777778</v>
      </c>
      <c r="J477">
        <v>0.187686140671873</v>
      </c>
      <c r="K477" t="s">
        <v>806</v>
      </c>
      <c r="L477" t="str">
        <f t="shared" si="21"/>
        <v>33</v>
      </c>
      <c r="M477">
        <f t="shared" si="22"/>
        <v>0</v>
      </c>
      <c r="N477">
        <f t="shared" si="23"/>
        <v>0</v>
      </c>
    </row>
    <row r="478" spans="1:14">
      <c r="A478">
        <v>7892</v>
      </c>
      <c r="B478" t="s">
        <v>901</v>
      </c>
      <c r="C478" t="s">
        <v>756</v>
      </c>
      <c r="E478">
        <v>535841</v>
      </c>
      <c r="G478" s="2">
        <v>0.2590277777777778</v>
      </c>
      <c r="H478" s="2">
        <v>0.26041666666666669</v>
      </c>
      <c r="J478">
        <v>3.1281023445312202E-2</v>
      </c>
      <c r="K478" t="s">
        <v>798</v>
      </c>
      <c r="L478" t="str">
        <f t="shared" si="21"/>
        <v>33</v>
      </c>
      <c r="M478">
        <f t="shared" si="22"/>
        <v>0</v>
      </c>
      <c r="N478">
        <f t="shared" si="23"/>
        <v>0</v>
      </c>
    </row>
    <row r="479" spans="1:14">
      <c r="A479">
        <v>7892</v>
      </c>
      <c r="B479" t="s">
        <v>901</v>
      </c>
      <c r="C479" t="s">
        <v>756</v>
      </c>
      <c r="E479">
        <v>535841</v>
      </c>
      <c r="G479" s="2">
        <v>0.26041666666666669</v>
      </c>
      <c r="H479" s="2">
        <v>0.26597222222222222</v>
      </c>
      <c r="J479">
        <v>0.125124093781248</v>
      </c>
      <c r="K479" t="s">
        <v>806</v>
      </c>
      <c r="L479" t="str">
        <f t="shared" si="21"/>
        <v>33</v>
      </c>
      <c r="M479">
        <f t="shared" si="22"/>
        <v>0</v>
      </c>
      <c r="N479">
        <f t="shared" si="23"/>
        <v>0</v>
      </c>
    </row>
    <row r="480" spans="1:14">
      <c r="A480">
        <v>7892</v>
      </c>
      <c r="B480" t="s">
        <v>901</v>
      </c>
      <c r="C480" t="s">
        <v>756</v>
      </c>
      <c r="E480">
        <v>535841</v>
      </c>
      <c r="G480" s="2">
        <v>0.26597222222222222</v>
      </c>
      <c r="H480" s="2">
        <v>0.27569444444444446</v>
      </c>
      <c r="J480">
        <v>0.218967164117185</v>
      </c>
      <c r="K480" t="s">
        <v>798</v>
      </c>
      <c r="L480" t="str">
        <f t="shared" si="21"/>
        <v>33</v>
      </c>
      <c r="M480">
        <f t="shared" si="22"/>
        <v>0</v>
      </c>
      <c r="N480">
        <f t="shared" si="23"/>
        <v>0</v>
      </c>
    </row>
    <row r="481" spans="1:14">
      <c r="A481">
        <v>7892</v>
      </c>
      <c r="B481" t="s">
        <v>901</v>
      </c>
      <c r="C481" t="s">
        <v>756</v>
      </c>
      <c r="E481">
        <v>535841</v>
      </c>
      <c r="G481" s="2">
        <v>0.27569444444444446</v>
      </c>
      <c r="H481" s="2">
        <v>0.28680555555555554</v>
      </c>
      <c r="J481">
        <v>0.250248187562498</v>
      </c>
      <c r="K481" t="s">
        <v>806</v>
      </c>
      <c r="L481" t="str">
        <f t="shared" si="21"/>
        <v>33</v>
      </c>
      <c r="M481">
        <f t="shared" si="22"/>
        <v>0</v>
      </c>
      <c r="N481">
        <f t="shared" si="23"/>
        <v>0</v>
      </c>
    </row>
    <row r="482" spans="1:14">
      <c r="A482">
        <v>7892</v>
      </c>
      <c r="B482" t="s">
        <v>901</v>
      </c>
      <c r="C482" t="s">
        <v>756</v>
      </c>
      <c r="E482">
        <v>535841</v>
      </c>
      <c r="G482" s="2">
        <v>0.28680555555555554</v>
      </c>
      <c r="H482" s="2">
        <v>0.33402777777777781</v>
      </c>
      <c r="J482">
        <v>1.0635547971406101</v>
      </c>
      <c r="K482" t="s">
        <v>798</v>
      </c>
      <c r="L482" t="str">
        <f t="shared" si="21"/>
        <v>33</v>
      </c>
      <c r="M482">
        <f t="shared" si="22"/>
        <v>0</v>
      </c>
      <c r="N482">
        <f t="shared" si="23"/>
        <v>0</v>
      </c>
    </row>
    <row r="483" spans="1:14">
      <c r="A483">
        <v>7892</v>
      </c>
      <c r="B483" t="s">
        <v>901</v>
      </c>
      <c r="C483" t="s">
        <v>756</v>
      </c>
      <c r="E483">
        <v>535841</v>
      </c>
      <c r="G483" s="2">
        <v>0.33402777777777781</v>
      </c>
      <c r="H483" s="2">
        <v>0.34027777777777773</v>
      </c>
      <c r="J483">
        <v>0.14076460550390499</v>
      </c>
      <c r="K483" t="s">
        <v>806</v>
      </c>
      <c r="L483" t="str">
        <f t="shared" si="21"/>
        <v>33</v>
      </c>
      <c r="M483">
        <f t="shared" si="22"/>
        <v>0</v>
      </c>
      <c r="N483">
        <f t="shared" si="23"/>
        <v>0</v>
      </c>
    </row>
    <row r="484" spans="1:14">
      <c r="A484">
        <v>7892</v>
      </c>
      <c r="B484" t="s">
        <v>901</v>
      </c>
      <c r="C484" t="s">
        <v>756</v>
      </c>
      <c r="E484">
        <v>535841</v>
      </c>
      <c r="G484" s="2">
        <v>0.34027777777777773</v>
      </c>
      <c r="H484" s="2">
        <v>0.40625</v>
      </c>
      <c r="J484">
        <v>1.4858486136523299</v>
      </c>
      <c r="K484" t="s">
        <v>798</v>
      </c>
      <c r="L484" t="str">
        <f t="shared" si="21"/>
        <v>33</v>
      </c>
      <c r="M484">
        <f t="shared" si="22"/>
        <v>0</v>
      </c>
      <c r="N484">
        <f t="shared" si="23"/>
        <v>0</v>
      </c>
    </row>
    <row r="485" spans="1:14">
      <c r="A485">
        <v>7892</v>
      </c>
      <c r="B485" t="s">
        <v>901</v>
      </c>
      <c r="C485" t="s">
        <v>756</v>
      </c>
      <c r="E485">
        <v>535841</v>
      </c>
      <c r="G485" s="2">
        <v>0.40625</v>
      </c>
      <c r="H485" s="2">
        <v>0.50555555555555554</v>
      </c>
      <c r="J485">
        <v>2.2365931763398201</v>
      </c>
      <c r="K485" t="s">
        <v>759</v>
      </c>
      <c r="L485" t="str">
        <f t="shared" si="21"/>
        <v>33</v>
      </c>
      <c r="M485">
        <f t="shared" si="22"/>
        <v>0</v>
      </c>
      <c r="N485">
        <f t="shared" si="23"/>
        <v>0</v>
      </c>
    </row>
    <row r="486" spans="1:14">
      <c r="A486">
        <v>7892</v>
      </c>
      <c r="B486" t="s">
        <v>901</v>
      </c>
      <c r="C486" t="s">
        <v>756</v>
      </c>
      <c r="E486">
        <v>535841</v>
      </c>
      <c r="G486" s="2">
        <v>0.50555555555555554</v>
      </c>
      <c r="H486" s="2">
        <v>0.50555555555555554</v>
      </c>
      <c r="J486">
        <v>0</v>
      </c>
      <c r="K486" t="s">
        <v>760</v>
      </c>
      <c r="L486" t="str">
        <f t="shared" si="21"/>
        <v>33</v>
      </c>
      <c r="M486">
        <f t="shared" si="22"/>
        <v>0</v>
      </c>
      <c r="N486">
        <f t="shared" si="23"/>
        <v>0</v>
      </c>
    </row>
    <row r="487" spans="1:14">
      <c r="A487">
        <v>7892</v>
      </c>
      <c r="B487" t="s">
        <v>901</v>
      </c>
      <c r="C487" t="s">
        <v>756</v>
      </c>
      <c r="E487">
        <v>535841</v>
      </c>
      <c r="G487" s="2">
        <v>0.50555555555555554</v>
      </c>
      <c r="H487" s="2">
        <v>0.5131944444444444</v>
      </c>
      <c r="J487">
        <v>0.17204562894921699</v>
      </c>
      <c r="K487" t="s">
        <v>759</v>
      </c>
      <c r="L487" t="str">
        <f t="shared" si="21"/>
        <v>33</v>
      </c>
      <c r="M487">
        <f t="shared" si="22"/>
        <v>0</v>
      </c>
      <c r="N487">
        <f t="shared" si="23"/>
        <v>0</v>
      </c>
    </row>
    <row r="488" spans="1:14">
      <c r="A488">
        <v>7892</v>
      </c>
      <c r="B488" t="s">
        <v>901</v>
      </c>
      <c r="C488" t="s">
        <v>756</v>
      </c>
      <c r="E488">
        <v>535841</v>
      </c>
      <c r="G488" s="2">
        <v>0.5131944444444444</v>
      </c>
      <c r="H488" s="2">
        <v>0.51666666666666672</v>
      </c>
      <c r="J488">
        <v>7.8202558613280598E-2</v>
      </c>
      <c r="K488" t="s">
        <v>760</v>
      </c>
      <c r="L488" t="str">
        <f t="shared" si="21"/>
        <v>33</v>
      </c>
      <c r="M488">
        <f t="shared" si="22"/>
        <v>0</v>
      </c>
      <c r="N488">
        <f t="shared" si="23"/>
        <v>0</v>
      </c>
    </row>
    <row r="489" spans="1:14">
      <c r="A489">
        <v>7892</v>
      </c>
      <c r="B489" t="s">
        <v>901</v>
      </c>
      <c r="C489" t="s">
        <v>756</v>
      </c>
      <c r="E489">
        <v>535841</v>
      </c>
      <c r="G489" s="2">
        <v>0.51666666666666672</v>
      </c>
      <c r="H489" s="2">
        <v>0.55208333333333337</v>
      </c>
      <c r="J489">
        <v>0.79766609785546305</v>
      </c>
      <c r="K489" t="s">
        <v>759</v>
      </c>
      <c r="L489" t="str">
        <f t="shared" si="21"/>
        <v>33</v>
      </c>
      <c r="M489">
        <f t="shared" si="22"/>
        <v>0</v>
      </c>
      <c r="N489">
        <f t="shared" si="23"/>
        <v>0</v>
      </c>
    </row>
    <row r="490" spans="1:14">
      <c r="A490">
        <v>7471</v>
      </c>
      <c r="B490" t="s">
        <v>1210</v>
      </c>
      <c r="C490" t="s">
        <v>754</v>
      </c>
      <c r="D490" t="s">
        <v>841</v>
      </c>
      <c r="E490">
        <v>82568</v>
      </c>
      <c r="G490" s="2">
        <v>0.21666666666666667</v>
      </c>
      <c r="H490" s="2">
        <v>0.22222222222222221</v>
      </c>
      <c r="J490">
        <v>0.126455409862746</v>
      </c>
      <c r="K490" t="s">
        <v>798</v>
      </c>
      <c r="L490" t="str">
        <f t="shared" si="21"/>
        <v>33</v>
      </c>
      <c r="M490">
        <f t="shared" si="22"/>
        <v>0</v>
      </c>
      <c r="N490">
        <f t="shared" si="23"/>
        <v>0</v>
      </c>
    </row>
    <row r="491" spans="1:14">
      <c r="A491">
        <v>7471</v>
      </c>
      <c r="B491" t="s">
        <v>1210</v>
      </c>
      <c r="C491" t="s">
        <v>754</v>
      </c>
      <c r="D491" t="s">
        <v>841</v>
      </c>
      <c r="E491">
        <v>82568</v>
      </c>
      <c r="G491" s="2">
        <v>0.22222222222222221</v>
      </c>
      <c r="H491" s="2">
        <v>0.22430555555555556</v>
      </c>
      <c r="J491">
        <v>4.7420778698530001E-2</v>
      </c>
      <c r="K491" t="s">
        <v>902</v>
      </c>
      <c r="L491" t="str">
        <f t="shared" si="21"/>
        <v>33</v>
      </c>
      <c r="M491">
        <f t="shared" si="22"/>
        <v>0</v>
      </c>
      <c r="N491">
        <f t="shared" si="23"/>
        <v>0</v>
      </c>
    </row>
    <row r="492" spans="1:14">
      <c r="A492">
        <v>7471</v>
      </c>
      <c r="B492" t="s">
        <v>1210</v>
      </c>
      <c r="C492" t="s">
        <v>754</v>
      </c>
      <c r="D492" t="s">
        <v>841</v>
      </c>
      <c r="E492">
        <v>82568</v>
      </c>
      <c r="G492" s="2">
        <v>0.22430555555555556</v>
      </c>
      <c r="H492" s="2">
        <v>0.23958333333333334</v>
      </c>
      <c r="J492">
        <v>0.34775237712255302</v>
      </c>
      <c r="K492" t="s">
        <v>798</v>
      </c>
      <c r="L492" t="str">
        <f t="shared" si="21"/>
        <v>33</v>
      </c>
      <c r="M492">
        <f t="shared" si="22"/>
        <v>0</v>
      </c>
      <c r="N492">
        <f t="shared" si="23"/>
        <v>0</v>
      </c>
    </row>
    <row r="493" spans="1:14">
      <c r="A493">
        <v>7471</v>
      </c>
      <c r="B493" t="s">
        <v>1210</v>
      </c>
      <c r="C493" t="s">
        <v>754</v>
      </c>
      <c r="D493" t="s">
        <v>841</v>
      </c>
      <c r="E493">
        <v>82568</v>
      </c>
      <c r="G493" s="2">
        <v>0.23958333333333334</v>
      </c>
      <c r="H493" s="2">
        <v>0.24444444444444446</v>
      </c>
      <c r="J493">
        <v>0.110648483629903</v>
      </c>
      <c r="K493" t="s">
        <v>812</v>
      </c>
      <c r="L493" t="str">
        <f t="shared" si="21"/>
        <v>33</v>
      </c>
      <c r="M493">
        <f t="shared" si="22"/>
        <v>0</v>
      </c>
      <c r="N493">
        <f t="shared" si="23"/>
        <v>0</v>
      </c>
    </row>
    <row r="494" spans="1:14">
      <c r="A494">
        <v>7471</v>
      </c>
      <c r="B494" t="s">
        <v>1210</v>
      </c>
      <c r="C494" t="s">
        <v>754</v>
      </c>
      <c r="D494" t="s">
        <v>841</v>
      </c>
      <c r="E494">
        <v>82568</v>
      </c>
      <c r="G494" s="2">
        <v>0.24444444444444446</v>
      </c>
      <c r="H494" s="2">
        <v>0.25</v>
      </c>
      <c r="J494">
        <v>0.126455409862746</v>
      </c>
      <c r="K494" t="s">
        <v>798</v>
      </c>
      <c r="L494" t="str">
        <f t="shared" si="21"/>
        <v>33</v>
      </c>
      <c r="M494">
        <f t="shared" si="22"/>
        <v>0</v>
      </c>
      <c r="N494">
        <f t="shared" si="23"/>
        <v>0</v>
      </c>
    </row>
    <row r="495" spans="1:14">
      <c r="A495">
        <v>7471</v>
      </c>
      <c r="B495" t="s">
        <v>1210</v>
      </c>
      <c r="C495" t="s">
        <v>754</v>
      </c>
      <c r="D495" t="s">
        <v>841</v>
      </c>
      <c r="E495">
        <v>82568</v>
      </c>
      <c r="G495" s="2">
        <v>0.25</v>
      </c>
      <c r="H495" s="2">
        <v>0.25416666666666665</v>
      </c>
      <c r="J495">
        <v>9.4841557397059906E-2</v>
      </c>
      <c r="K495" t="s">
        <v>834</v>
      </c>
      <c r="L495" t="str">
        <f t="shared" si="21"/>
        <v>33</v>
      </c>
      <c r="M495">
        <f t="shared" si="22"/>
        <v>0</v>
      </c>
      <c r="N495">
        <f t="shared" si="23"/>
        <v>0</v>
      </c>
    </row>
    <row r="496" spans="1:14">
      <c r="A496">
        <v>7471</v>
      </c>
      <c r="B496" t="s">
        <v>1210</v>
      </c>
      <c r="C496" t="s">
        <v>754</v>
      </c>
      <c r="D496" t="s">
        <v>841</v>
      </c>
      <c r="E496">
        <v>82568</v>
      </c>
      <c r="G496" s="2">
        <v>0.25416666666666665</v>
      </c>
      <c r="H496" s="2">
        <v>0.26597222222222222</v>
      </c>
      <c r="J496">
        <v>0.26871774595833597</v>
      </c>
      <c r="K496" t="s">
        <v>812</v>
      </c>
      <c r="L496" t="str">
        <f t="shared" si="21"/>
        <v>33</v>
      </c>
      <c r="M496">
        <f t="shared" si="22"/>
        <v>0</v>
      </c>
      <c r="N496">
        <f t="shared" si="23"/>
        <v>0</v>
      </c>
    </row>
    <row r="497" spans="1:14">
      <c r="A497">
        <v>7471</v>
      </c>
      <c r="B497" t="s">
        <v>1210</v>
      </c>
      <c r="C497" t="s">
        <v>754</v>
      </c>
      <c r="D497" t="s">
        <v>841</v>
      </c>
      <c r="E497">
        <v>82568</v>
      </c>
      <c r="G497" s="2">
        <v>0.26597222222222222</v>
      </c>
      <c r="H497" s="2">
        <v>0.26666666666666666</v>
      </c>
      <c r="J497">
        <v>1.5806926232843299E-2</v>
      </c>
      <c r="K497" t="s">
        <v>799</v>
      </c>
      <c r="L497" t="str">
        <f t="shared" si="21"/>
        <v>33</v>
      </c>
      <c r="M497">
        <f t="shared" si="22"/>
        <v>0</v>
      </c>
      <c r="N497">
        <f t="shared" si="23"/>
        <v>0</v>
      </c>
    </row>
    <row r="498" spans="1:14">
      <c r="A498">
        <v>7471</v>
      </c>
      <c r="B498" t="s">
        <v>1210</v>
      </c>
      <c r="C498" t="s">
        <v>754</v>
      </c>
      <c r="D498" t="s">
        <v>841</v>
      </c>
      <c r="E498">
        <v>82568</v>
      </c>
      <c r="G498" s="2">
        <v>0.26666666666666666</v>
      </c>
      <c r="H498" s="2">
        <v>0.27500000000000002</v>
      </c>
      <c r="J498">
        <v>0.18968311479411901</v>
      </c>
      <c r="K498" t="s">
        <v>798</v>
      </c>
      <c r="L498" t="str">
        <f t="shared" si="21"/>
        <v>33</v>
      </c>
      <c r="M498">
        <f t="shared" si="22"/>
        <v>0</v>
      </c>
      <c r="N498">
        <f t="shared" si="23"/>
        <v>0</v>
      </c>
    </row>
    <row r="499" spans="1:14">
      <c r="A499">
        <v>7471</v>
      </c>
      <c r="B499" t="s">
        <v>1210</v>
      </c>
      <c r="C499" t="s">
        <v>754</v>
      </c>
      <c r="D499" t="s">
        <v>841</v>
      </c>
      <c r="E499">
        <v>82568</v>
      </c>
      <c r="G499" s="2">
        <v>0.27500000000000002</v>
      </c>
      <c r="H499" s="2">
        <v>0.27638888888888885</v>
      </c>
      <c r="J499">
        <v>3.1613852465686598E-2</v>
      </c>
      <c r="K499" t="s">
        <v>902</v>
      </c>
      <c r="L499" t="str">
        <f t="shared" si="21"/>
        <v>33</v>
      </c>
      <c r="M499">
        <f t="shared" si="22"/>
        <v>0</v>
      </c>
      <c r="N499">
        <f t="shared" si="23"/>
        <v>0</v>
      </c>
    </row>
    <row r="500" spans="1:14">
      <c r="A500">
        <v>7471</v>
      </c>
      <c r="B500" t="s">
        <v>1210</v>
      </c>
      <c r="C500" t="s">
        <v>754</v>
      </c>
      <c r="D500" t="s">
        <v>841</v>
      </c>
      <c r="E500">
        <v>82568</v>
      </c>
      <c r="G500" s="2">
        <v>0.27638888888888885</v>
      </c>
      <c r="H500" s="2">
        <v>0.28472222222222221</v>
      </c>
      <c r="J500">
        <v>0.18968311479411901</v>
      </c>
      <c r="K500" t="s">
        <v>798</v>
      </c>
      <c r="L500" t="str">
        <f t="shared" si="21"/>
        <v>33</v>
      </c>
      <c r="M500">
        <f t="shared" si="22"/>
        <v>0</v>
      </c>
      <c r="N500">
        <f t="shared" si="23"/>
        <v>0</v>
      </c>
    </row>
    <row r="501" spans="1:14">
      <c r="A501">
        <v>7471</v>
      </c>
      <c r="B501" t="s">
        <v>1210</v>
      </c>
      <c r="C501" t="s">
        <v>754</v>
      </c>
      <c r="D501" t="s">
        <v>841</v>
      </c>
      <c r="E501">
        <v>82568</v>
      </c>
      <c r="G501" s="2">
        <v>0.28472222222222221</v>
      </c>
      <c r="H501" s="2">
        <v>0.28749999999999998</v>
      </c>
      <c r="J501">
        <v>6.3227704931373294E-2</v>
      </c>
      <c r="K501" t="s">
        <v>834</v>
      </c>
      <c r="L501" t="str">
        <f t="shared" si="21"/>
        <v>33</v>
      </c>
      <c r="M501">
        <f t="shared" si="22"/>
        <v>0</v>
      </c>
      <c r="N501">
        <f t="shared" si="23"/>
        <v>0</v>
      </c>
    </row>
    <row r="502" spans="1:14">
      <c r="A502">
        <v>7471</v>
      </c>
      <c r="B502" t="s">
        <v>1210</v>
      </c>
      <c r="C502" t="s">
        <v>754</v>
      </c>
      <c r="D502" t="s">
        <v>841</v>
      </c>
      <c r="E502">
        <v>82568</v>
      </c>
      <c r="G502" s="2">
        <v>0.28749999999999998</v>
      </c>
      <c r="H502" s="2">
        <v>0.29236111111111113</v>
      </c>
      <c r="J502">
        <v>0.110648483629903</v>
      </c>
      <c r="K502" t="s">
        <v>798</v>
      </c>
      <c r="L502" t="str">
        <f t="shared" si="21"/>
        <v>33</v>
      </c>
      <c r="M502">
        <f t="shared" si="22"/>
        <v>0</v>
      </c>
      <c r="N502">
        <f t="shared" si="23"/>
        <v>0</v>
      </c>
    </row>
    <row r="503" spans="1:14">
      <c r="A503">
        <v>7471</v>
      </c>
      <c r="B503" t="s">
        <v>1210</v>
      </c>
      <c r="C503" t="s">
        <v>754</v>
      </c>
      <c r="D503" t="s">
        <v>841</v>
      </c>
      <c r="E503">
        <v>82568</v>
      </c>
      <c r="G503" s="2">
        <v>0.29236111111111113</v>
      </c>
      <c r="H503" s="2">
        <v>0.29375000000000001</v>
      </c>
      <c r="J503">
        <v>3.1613852465686598E-2</v>
      </c>
      <c r="K503" t="s">
        <v>834</v>
      </c>
      <c r="L503" t="str">
        <f t="shared" si="21"/>
        <v>33</v>
      </c>
      <c r="M503">
        <f t="shared" si="22"/>
        <v>0</v>
      </c>
      <c r="N503">
        <f t="shared" si="23"/>
        <v>0</v>
      </c>
    </row>
    <row r="504" spans="1:14">
      <c r="A504">
        <v>7471</v>
      </c>
      <c r="B504" t="s">
        <v>1210</v>
      </c>
      <c r="C504" t="s">
        <v>754</v>
      </c>
      <c r="D504" t="s">
        <v>841</v>
      </c>
      <c r="E504">
        <v>82568</v>
      </c>
      <c r="G504" s="2">
        <v>0.29375000000000001</v>
      </c>
      <c r="H504" s="2">
        <v>0.29930555555555555</v>
      </c>
      <c r="J504">
        <v>0.126455409862746</v>
      </c>
      <c r="K504" t="s">
        <v>798</v>
      </c>
      <c r="L504" t="str">
        <f t="shared" si="21"/>
        <v>33</v>
      </c>
      <c r="M504">
        <f t="shared" si="22"/>
        <v>0</v>
      </c>
      <c r="N504">
        <f t="shared" si="23"/>
        <v>0</v>
      </c>
    </row>
    <row r="505" spans="1:14">
      <c r="A505">
        <v>7471</v>
      </c>
      <c r="B505" t="s">
        <v>1210</v>
      </c>
      <c r="C505" t="s">
        <v>754</v>
      </c>
      <c r="D505" t="s">
        <v>841</v>
      </c>
      <c r="E505">
        <v>82568</v>
      </c>
      <c r="G505" s="2">
        <v>0.29930555555555555</v>
      </c>
      <c r="H505" s="2">
        <v>0.3034722222222222</v>
      </c>
      <c r="J505">
        <v>9.4841557397059906E-2</v>
      </c>
      <c r="K505" t="s">
        <v>834</v>
      </c>
      <c r="L505" t="str">
        <f t="shared" si="21"/>
        <v>33</v>
      </c>
      <c r="M505">
        <f t="shared" si="22"/>
        <v>0</v>
      </c>
      <c r="N505">
        <f t="shared" si="23"/>
        <v>0</v>
      </c>
    </row>
    <row r="506" spans="1:14">
      <c r="A506">
        <v>7471</v>
      </c>
      <c r="B506" t="s">
        <v>1210</v>
      </c>
      <c r="C506" t="s">
        <v>754</v>
      </c>
      <c r="D506" t="s">
        <v>841</v>
      </c>
      <c r="E506">
        <v>82568</v>
      </c>
      <c r="G506" s="2">
        <v>0.3034722222222222</v>
      </c>
      <c r="H506" s="2">
        <v>0.3125</v>
      </c>
      <c r="J506">
        <v>0.205490041026963</v>
      </c>
      <c r="K506" t="s">
        <v>798</v>
      </c>
      <c r="L506" t="str">
        <f t="shared" si="21"/>
        <v>33</v>
      </c>
      <c r="M506">
        <f t="shared" si="22"/>
        <v>0</v>
      </c>
      <c r="N506">
        <f t="shared" si="23"/>
        <v>0</v>
      </c>
    </row>
    <row r="507" spans="1:14">
      <c r="A507">
        <v>7471</v>
      </c>
      <c r="B507" t="s">
        <v>1210</v>
      </c>
      <c r="C507" t="s">
        <v>754</v>
      </c>
      <c r="D507" t="s">
        <v>841</v>
      </c>
      <c r="E507">
        <v>82568</v>
      </c>
      <c r="G507" s="2">
        <v>0.3125</v>
      </c>
      <c r="H507" s="2">
        <v>0.32500000000000001</v>
      </c>
      <c r="J507">
        <v>0.28452467219117999</v>
      </c>
      <c r="K507" t="s">
        <v>834</v>
      </c>
      <c r="L507" t="str">
        <f t="shared" si="21"/>
        <v>33</v>
      </c>
      <c r="M507">
        <f t="shared" si="22"/>
        <v>0</v>
      </c>
      <c r="N507">
        <f t="shared" si="23"/>
        <v>0</v>
      </c>
    </row>
    <row r="508" spans="1:14">
      <c r="A508">
        <v>7471</v>
      </c>
      <c r="B508" t="s">
        <v>1210</v>
      </c>
      <c r="C508" t="s">
        <v>754</v>
      </c>
      <c r="D508" t="s">
        <v>841</v>
      </c>
      <c r="E508">
        <v>82568</v>
      </c>
      <c r="G508" s="2">
        <v>0.32500000000000001</v>
      </c>
      <c r="H508" s="2">
        <v>0.3263888888888889</v>
      </c>
      <c r="J508">
        <v>3.1613852465686598E-2</v>
      </c>
      <c r="K508" t="s">
        <v>798</v>
      </c>
      <c r="L508" t="str">
        <f t="shared" si="21"/>
        <v>33</v>
      </c>
      <c r="M508">
        <f t="shared" si="22"/>
        <v>0</v>
      </c>
      <c r="N508">
        <f t="shared" si="23"/>
        <v>0</v>
      </c>
    </row>
    <row r="509" spans="1:14">
      <c r="A509">
        <v>7471</v>
      </c>
      <c r="B509" t="s">
        <v>1210</v>
      </c>
      <c r="C509" t="s">
        <v>754</v>
      </c>
      <c r="D509" t="s">
        <v>841</v>
      </c>
      <c r="E509">
        <v>82568</v>
      </c>
      <c r="G509" s="2">
        <v>0.3263888888888889</v>
      </c>
      <c r="H509" s="2">
        <v>0.32847222222222222</v>
      </c>
      <c r="J509">
        <v>4.7420778698530001E-2</v>
      </c>
      <c r="K509" t="s">
        <v>834</v>
      </c>
      <c r="L509" t="str">
        <f t="shared" si="21"/>
        <v>33</v>
      </c>
      <c r="M509">
        <f t="shared" si="22"/>
        <v>0</v>
      </c>
      <c r="N509">
        <f t="shared" si="23"/>
        <v>0</v>
      </c>
    </row>
    <row r="510" spans="1:14">
      <c r="A510">
        <v>7471</v>
      </c>
      <c r="B510" t="s">
        <v>1210</v>
      </c>
      <c r="C510" t="s">
        <v>754</v>
      </c>
      <c r="D510" t="s">
        <v>841</v>
      </c>
      <c r="E510">
        <v>82568</v>
      </c>
      <c r="G510" s="2">
        <v>0.32847222222222222</v>
      </c>
      <c r="H510" s="2">
        <v>0.33333333333333331</v>
      </c>
      <c r="J510">
        <v>0.110648483629903</v>
      </c>
      <c r="K510" t="s">
        <v>798</v>
      </c>
      <c r="L510" t="str">
        <f t="shared" si="21"/>
        <v>33</v>
      </c>
      <c r="M510">
        <f t="shared" si="22"/>
        <v>0</v>
      </c>
      <c r="N510">
        <f t="shared" si="23"/>
        <v>0</v>
      </c>
    </row>
    <row r="511" spans="1:14">
      <c r="A511">
        <v>7471</v>
      </c>
      <c r="B511" t="s">
        <v>1210</v>
      </c>
      <c r="C511" t="s">
        <v>754</v>
      </c>
      <c r="D511" t="s">
        <v>841</v>
      </c>
      <c r="E511">
        <v>82568</v>
      </c>
      <c r="G511" s="2">
        <v>0.33333333333333331</v>
      </c>
      <c r="H511" s="2">
        <v>0.34375</v>
      </c>
      <c r="J511">
        <v>0.23710389349264999</v>
      </c>
      <c r="K511" t="s">
        <v>834</v>
      </c>
      <c r="L511" t="str">
        <f t="shared" si="21"/>
        <v>33</v>
      </c>
      <c r="M511">
        <f t="shared" si="22"/>
        <v>0</v>
      </c>
      <c r="N511">
        <f t="shared" si="23"/>
        <v>0</v>
      </c>
    </row>
    <row r="512" spans="1:14">
      <c r="A512">
        <v>7471</v>
      </c>
      <c r="B512" t="s">
        <v>1210</v>
      </c>
      <c r="C512" t="s">
        <v>754</v>
      </c>
      <c r="D512" t="s">
        <v>841</v>
      </c>
      <c r="E512">
        <v>82568</v>
      </c>
      <c r="G512" s="2">
        <v>0.34375</v>
      </c>
      <c r="H512" s="2">
        <v>0.35416666666666669</v>
      </c>
      <c r="J512">
        <v>0.23710389349264999</v>
      </c>
      <c r="K512" t="s">
        <v>798</v>
      </c>
      <c r="L512" t="str">
        <f t="shared" si="21"/>
        <v>33</v>
      </c>
      <c r="M512">
        <f t="shared" si="22"/>
        <v>0</v>
      </c>
      <c r="N512">
        <f t="shared" si="23"/>
        <v>0</v>
      </c>
    </row>
    <row r="513" spans="1:14">
      <c r="A513">
        <v>7471</v>
      </c>
      <c r="B513" t="s">
        <v>1210</v>
      </c>
      <c r="C513" t="s">
        <v>754</v>
      </c>
      <c r="D513" t="s">
        <v>841</v>
      </c>
      <c r="E513">
        <v>82568</v>
      </c>
      <c r="G513" s="2">
        <v>0.35416666666666669</v>
      </c>
      <c r="H513" s="2">
        <v>0.35625000000000001</v>
      </c>
      <c r="J513">
        <v>4.7420778698530001E-2</v>
      </c>
      <c r="K513" t="s">
        <v>834</v>
      </c>
      <c r="L513" t="str">
        <f t="shared" si="21"/>
        <v>33</v>
      </c>
      <c r="M513">
        <f t="shared" si="22"/>
        <v>0</v>
      </c>
      <c r="N513">
        <f t="shared" si="23"/>
        <v>0</v>
      </c>
    </row>
    <row r="514" spans="1:14">
      <c r="A514">
        <v>7471</v>
      </c>
      <c r="B514" t="s">
        <v>1210</v>
      </c>
      <c r="C514" t="s">
        <v>754</v>
      </c>
      <c r="D514" t="s">
        <v>841</v>
      </c>
      <c r="E514">
        <v>82568</v>
      </c>
      <c r="G514" s="2">
        <v>0.35625000000000001</v>
      </c>
      <c r="H514" s="2">
        <v>0.36875000000000002</v>
      </c>
      <c r="J514">
        <v>0.28452467219117999</v>
      </c>
      <c r="K514" t="s">
        <v>798</v>
      </c>
      <c r="L514" t="str">
        <f t="shared" ref="L514:L577" si="24">RIGHT(LEFT(K514,4),2)</f>
        <v>33</v>
      </c>
      <c r="M514">
        <f t="shared" ref="M514:M577" si="25">IF(I514=0,0,I514-H514)+IF(F514=0,0,G514-F514)</f>
        <v>0</v>
      </c>
      <c r="N514">
        <f t="shared" ref="N514:N577" si="26">(M514-INT(M514))*24</f>
        <v>0</v>
      </c>
    </row>
    <row r="515" spans="1:14">
      <c r="A515">
        <v>7471</v>
      </c>
      <c r="B515" t="s">
        <v>1210</v>
      </c>
      <c r="C515" t="s">
        <v>754</v>
      </c>
      <c r="D515" t="s">
        <v>841</v>
      </c>
      <c r="E515">
        <v>82568</v>
      </c>
      <c r="G515" s="2">
        <v>0.36875000000000002</v>
      </c>
      <c r="H515" s="2">
        <v>0.37638888888888888</v>
      </c>
      <c r="J515">
        <v>0.17387618856127601</v>
      </c>
      <c r="K515" t="s">
        <v>799</v>
      </c>
      <c r="L515" t="str">
        <f t="shared" si="24"/>
        <v>33</v>
      </c>
      <c r="M515">
        <f t="shared" si="25"/>
        <v>0</v>
      </c>
      <c r="N515">
        <f t="shared" si="26"/>
        <v>0</v>
      </c>
    </row>
    <row r="516" spans="1:14">
      <c r="A516">
        <v>7471</v>
      </c>
      <c r="B516" t="s">
        <v>1210</v>
      </c>
      <c r="C516" t="s">
        <v>754</v>
      </c>
      <c r="D516" t="s">
        <v>841</v>
      </c>
      <c r="E516">
        <v>82568</v>
      </c>
      <c r="G516" s="2">
        <v>0.37638888888888888</v>
      </c>
      <c r="H516" s="2">
        <v>0.37847222222222227</v>
      </c>
      <c r="J516">
        <v>4.7420778698530001E-2</v>
      </c>
      <c r="K516" t="s">
        <v>798</v>
      </c>
      <c r="L516" t="str">
        <f t="shared" si="24"/>
        <v>33</v>
      </c>
      <c r="M516">
        <f t="shared" si="25"/>
        <v>0</v>
      </c>
      <c r="N516">
        <f t="shared" si="26"/>
        <v>0</v>
      </c>
    </row>
    <row r="517" spans="1:14">
      <c r="A517">
        <v>7471</v>
      </c>
      <c r="B517" t="s">
        <v>1210</v>
      </c>
      <c r="C517" t="s">
        <v>754</v>
      </c>
      <c r="D517" t="s">
        <v>841</v>
      </c>
      <c r="E517">
        <v>82568</v>
      </c>
      <c r="G517" s="2">
        <v>0.37847222222222227</v>
      </c>
      <c r="H517" s="2">
        <v>0.37986111111111115</v>
      </c>
      <c r="J517">
        <v>3.1613852465686598E-2</v>
      </c>
      <c r="K517" t="s">
        <v>834</v>
      </c>
      <c r="L517" t="str">
        <f t="shared" si="24"/>
        <v>33</v>
      </c>
      <c r="M517">
        <f t="shared" si="25"/>
        <v>0</v>
      </c>
      <c r="N517">
        <f t="shared" si="26"/>
        <v>0</v>
      </c>
    </row>
    <row r="518" spans="1:14">
      <c r="A518">
        <v>7471</v>
      </c>
      <c r="B518" t="s">
        <v>1210</v>
      </c>
      <c r="C518" t="s">
        <v>754</v>
      </c>
      <c r="D518" t="s">
        <v>841</v>
      </c>
      <c r="E518">
        <v>82568</v>
      </c>
      <c r="G518" s="2">
        <v>0.37986111111111115</v>
      </c>
      <c r="H518" s="2">
        <v>0.38611111111111113</v>
      </c>
      <c r="J518">
        <v>0.14226233609559</v>
      </c>
      <c r="K518" t="s">
        <v>798</v>
      </c>
      <c r="L518" t="str">
        <f t="shared" si="24"/>
        <v>33</v>
      </c>
      <c r="M518">
        <f t="shared" si="25"/>
        <v>0</v>
      </c>
      <c r="N518">
        <f t="shared" si="26"/>
        <v>0</v>
      </c>
    </row>
    <row r="519" spans="1:14">
      <c r="A519">
        <v>7471</v>
      </c>
      <c r="B519" t="s">
        <v>1210</v>
      </c>
      <c r="C519" t="s">
        <v>754</v>
      </c>
      <c r="D519" t="s">
        <v>841</v>
      </c>
      <c r="E519">
        <v>82568</v>
      </c>
      <c r="G519" s="2">
        <v>0.38611111111111113</v>
      </c>
      <c r="H519" s="2">
        <v>0.39097222222222222</v>
      </c>
      <c r="J519">
        <v>0.110648483629903</v>
      </c>
      <c r="K519" t="s">
        <v>834</v>
      </c>
      <c r="L519" t="str">
        <f t="shared" si="24"/>
        <v>33</v>
      </c>
      <c r="M519">
        <f t="shared" si="25"/>
        <v>0</v>
      </c>
      <c r="N519">
        <f t="shared" si="26"/>
        <v>0</v>
      </c>
    </row>
    <row r="520" spans="1:14">
      <c r="A520">
        <v>7471</v>
      </c>
      <c r="B520" t="s">
        <v>1210</v>
      </c>
      <c r="C520" t="s">
        <v>754</v>
      </c>
      <c r="D520" t="s">
        <v>841</v>
      </c>
      <c r="E520">
        <v>82568</v>
      </c>
      <c r="G520" s="2">
        <v>0.39097222222222222</v>
      </c>
      <c r="H520" s="2">
        <v>0.40069444444444446</v>
      </c>
      <c r="J520">
        <v>0.22129696725980599</v>
      </c>
      <c r="K520" t="s">
        <v>798</v>
      </c>
      <c r="L520" t="str">
        <f t="shared" si="24"/>
        <v>33</v>
      </c>
      <c r="M520">
        <f t="shared" si="25"/>
        <v>0</v>
      </c>
      <c r="N520">
        <f t="shared" si="26"/>
        <v>0</v>
      </c>
    </row>
    <row r="521" spans="1:14">
      <c r="A521">
        <v>7471</v>
      </c>
      <c r="B521" t="s">
        <v>1210</v>
      </c>
      <c r="C521" t="s">
        <v>754</v>
      </c>
      <c r="D521" t="s">
        <v>841</v>
      </c>
      <c r="E521">
        <v>82568</v>
      </c>
      <c r="G521" s="2">
        <v>0.40069444444444446</v>
      </c>
      <c r="H521" s="2">
        <v>0.40416666666666662</v>
      </c>
      <c r="J521">
        <v>7.9034631164216607E-2</v>
      </c>
      <c r="K521" t="s">
        <v>834</v>
      </c>
      <c r="L521" t="str">
        <f t="shared" si="24"/>
        <v>33</v>
      </c>
      <c r="M521">
        <f t="shared" si="25"/>
        <v>0</v>
      </c>
      <c r="N521">
        <f t="shared" si="26"/>
        <v>0</v>
      </c>
    </row>
    <row r="522" spans="1:14">
      <c r="A522">
        <v>7471</v>
      </c>
      <c r="B522" t="s">
        <v>1210</v>
      </c>
      <c r="C522" t="s">
        <v>754</v>
      </c>
      <c r="D522" t="s">
        <v>841</v>
      </c>
      <c r="E522">
        <v>82568</v>
      </c>
      <c r="G522" s="2">
        <v>0.40416666666666662</v>
      </c>
      <c r="H522" s="2">
        <v>0.40625</v>
      </c>
      <c r="J522">
        <v>4.7420778698530001E-2</v>
      </c>
      <c r="K522" t="s">
        <v>798</v>
      </c>
      <c r="L522" t="str">
        <f t="shared" si="24"/>
        <v>33</v>
      </c>
      <c r="M522">
        <f t="shared" si="25"/>
        <v>0</v>
      </c>
      <c r="N522">
        <f t="shared" si="26"/>
        <v>0</v>
      </c>
    </row>
    <row r="523" spans="1:14">
      <c r="A523">
        <v>7471</v>
      </c>
      <c r="B523" t="s">
        <v>1210</v>
      </c>
      <c r="C523" t="s">
        <v>754</v>
      </c>
      <c r="D523" t="s">
        <v>841</v>
      </c>
      <c r="E523">
        <v>82568</v>
      </c>
      <c r="G523" s="2">
        <v>0.40625</v>
      </c>
      <c r="H523" s="2">
        <v>0.41249999999999998</v>
      </c>
      <c r="J523">
        <v>0.14226233609559</v>
      </c>
      <c r="K523" t="s">
        <v>902</v>
      </c>
      <c r="L523" t="str">
        <f t="shared" si="24"/>
        <v>33</v>
      </c>
      <c r="M523">
        <f t="shared" si="25"/>
        <v>0</v>
      </c>
      <c r="N523">
        <f t="shared" si="26"/>
        <v>0</v>
      </c>
    </row>
    <row r="524" spans="1:14">
      <c r="A524">
        <v>7471</v>
      </c>
      <c r="B524" t="s">
        <v>1210</v>
      </c>
      <c r="C524" t="s">
        <v>754</v>
      </c>
      <c r="D524" t="s">
        <v>841</v>
      </c>
      <c r="E524">
        <v>82568</v>
      </c>
      <c r="G524" s="2">
        <v>0.41249999999999998</v>
      </c>
      <c r="H524" s="2">
        <v>0.41666666666666669</v>
      </c>
      <c r="J524">
        <v>9.4841557397059906E-2</v>
      </c>
      <c r="K524" t="s">
        <v>798</v>
      </c>
      <c r="L524" t="str">
        <f t="shared" si="24"/>
        <v>33</v>
      </c>
      <c r="M524">
        <f t="shared" si="25"/>
        <v>0</v>
      </c>
      <c r="N524">
        <f t="shared" si="26"/>
        <v>0</v>
      </c>
    </row>
    <row r="525" spans="1:14">
      <c r="A525">
        <v>7471</v>
      </c>
      <c r="B525" t="s">
        <v>1210</v>
      </c>
      <c r="C525" t="s">
        <v>754</v>
      </c>
      <c r="D525" t="s">
        <v>841</v>
      </c>
      <c r="E525">
        <v>82568</v>
      </c>
      <c r="G525" s="2">
        <v>0.41666666666666669</v>
      </c>
      <c r="H525" s="2">
        <v>0.41805555555555557</v>
      </c>
      <c r="J525">
        <v>3.1613852465686598E-2</v>
      </c>
      <c r="K525" t="s">
        <v>834</v>
      </c>
      <c r="L525" t="str">
        <f t="shared" si="24"/>
        <v>33</v>
      </c>
      <c r="M525">
        <f t="shared" si="25"/>
        <v>0</v>
      </c>
      <c r="N525">
        <f t="shared" si="26"/>
        <v>0</v>
      </c>
    </row>
    <row r="526" spans="1:14">
      <c r="A526">
        <v>7471</v>
      </c>
      <c r="B526" t="s">
        <v>1210</v>
      </c>
      <c r="C526" t="s">
        <v>754</v>
      </c>
      <c r="D526" t="s">
        <v>841</v>
      </c>
      <c r="E526">
        <v>82568</v>
      </c>
      <c r="G526" s="2">
        <v>0.41805555555555557</v>
      </c>
      <c r="H526" s="2">
        <v>0.4201388888888889</v>
      </c>
      <c r="J526">
        <v>4.7420778698530001E-2</v>
      </c>
      <c r="K526" t="s">
        <v>798</v>
      </c>
      <c r="L526" t="str">
        <f t="shared" si="24"/>
        <v>33</v>
      </c>
      <c r="M526">
        <f t="shared" si="25"/>
        <v>0</v>
      </c>
      <c r="N526">
        <f t="shared" si="26"/>
        <v>0</v>
      </c>
    </row>
    <row r="527" spans="1:14">
      <c r="A527">
        <v>7471</v>
      </c>
      <c r="B527" t="s">
        <v>1210</v>
      </c>
      <c r="C527" t="s">
        <v>754</v>
      </c>
      <c r="D527" t="s">
        <v>841</v>
      </c>
      <c r="E527">
        <v>82568</v>
      </c>
      <c r="G527" s="2">
        <v>0.4201388888888889</v>
      </c>
      <c r="H527" s="2">
        <v>0.42152777777777778</v>
      </c>
      <c r="J527">
        <v>3.1613852465686598E-2</v>
      </c>
      <c r="K527" t="s">
        <v>834</v>
      </c>
      <c r="L527" t="str">
        <f t="shared" si="24"/>
        <v>33</v>
      </c>
      <c r="M527">
        <f t="shared" si="25"/>
        <v>0</v>
      </c>
      <c r="N527">
        <f t="shared" si="26"/>
        <v>0</v>
      </c>
    </row>
    <row r="528" spans="1:14">
      <c r="A528">
        <v>7471</v>
      </c>
      <c r="B528" t="s">
        <v>1210</v>
      </c>
      <c r="C528" t="s">
        <v>754</v>
      </c>
      <c r="D528" t="s">
        <v>841</v>
      </c>
      <c r="E528">
        <v>82568</v>
      </c>
      <c r="G528" s="2">
        <v>0.42152777777777778</v>
      </c>
      <c r="H528" s="2">
        <v>0.4236111111111111</v>
      </c>
      <c r="J528">
        <v>4.7420778698530001E-2</v>
      </c>
      <c r="K528" t="s">
        <v>798</v>
      </c>
      <c r="L528" t="str">
        <f t="shared" si="24"/>
        <v>33</v>
      </c>
      <c r="M528">
        <f t="shared" si="25"/>
        <v>0</v>
      </c>
      <c r="N528">
        <f t="shared" si="26"/>
        <v>0</v>
      </c>
    </row>
    <row r="529" spans="1:14">
      <c r="A529">
        <v>7471</v>
      </c>
      <c r="B529" t="s">
        <v>1210</v>
      </c>
      <c r="C529" t="s">
        <v>754</v>
      </c>
      <c r="D529" t="s">
        <v>841</v>
      </c>
      <c r="E529">
        <v>82568</v>
      </c>
      <c r="G529" s="2">
        <v>0.4236111111111111</v>
      </c>
      <c r="H529" s="2">
        <v>0.44722222222222219</v>
      </c>
      <c r="J529">
        <v>0.53743549191667295</v>
      </c>
      <c r="K529" t="s">
        <v>834</v>
      </c>
      <c r="L529" t="str">
        <f t="shared" si="24"/>
        <v>33</v>
      </c>
      <c r="M529">
        <f t="shared" si="25"/>
        <v>0</v>
      </c>
      <c r="N529">
        <f t="shared" si="26"/>
        <v>0</v>
      </c>
    </row>
    <row r="530" spans="1:14">
      <c r="A530">
        <v>7471</v>
      </c>
      <c r="B530" t="s">
        <v>1210</v>
      </c>
      <c r="C530" t="s">
        <v>754</v>
      </c>
      <c r="D530" t="s">
        <v>841</v>
      </c>
      <c r="E530">
        <v>82568</v>
      </c>
      <c r="G530" s="2">
        <v>0.44722222222222219</v>
      </c>
      <c r="H530" s="2">
        <v>0.47986111111111113</v>
      </c>
      <c r="J530">
        <v>0.74292553294363595</v>
      </c>
      <c r="K530" t="s">
        <v>798</v>
      </c>
      <c r="L530" t="str">
        <f t="shared" si="24"/>
        <v>33</v>
      </c>
      <c r="M530">
        <f t="shared" si="25"/>
        <v>0</v>
      </c>
      <c r="N530">
        <f t="shared" si="26"/>
        <v>0</v>
      </c>
    </row>
    <row r="531" spans="1:14">
      <c r="A531">
        <v>7471</v>
      </c>
      <c r="B531" t="s">
        <v>1210</v>
      </c>
      <c r="C531" t="s">
        <v>754</v>
      </c>
      <c r="D531" t="s">
        <v>841</v>
      </c>
      <c r="E531">
        <v>82568</v>
      </c>
      <c r="G531" s="2">
        <v>0.47986111111111113</v>
      </c>
      <c r="H531" s="2">
        <v>0.50069444444444444</v>
      </c>
      <c r="J531">
        <v>0.47420778698529997</v>
      </c>
      <c r="K531" t="s">
        <v>799</v>
      </c>
      <c r="L531" t="str">
        <f t="shared" si="24"/>
        <v>33</v>
      </c>
      <c r="M531">
        <f t="shared" si="25"/>
        <v>0</v>
      </c>
      <c r="N531">
        <f t="shared" si="26"/>
        <v>0</v>
      </c>
    </row>
    <row r="532" spans="1:14">
      <c r="A532">
        <v>7471</v>
      </c>
      <c r="B532" t="s">
        <v>1210</v>
      </c>
      <c r="C532" t="s">
        <v>754</v>
      </c>
      <c r="D532" t="s">
        <v>841</v>
      </c>
      <c r="E532">
        <v>82568</v>
      </c>
      <c r="G532" s="2">
        <v>0.50069444444444444</v>
      </c>
      <c r="H532" s="2">
        <v>0.50555555555555554</v>
      </c>
      <c r="J532">
        <v>0.110648483629903</v>
      </c>
      <c r="K532" t="s">
        <v>834</v>
      </c>
      <c r="L532" t="str">
        <f t="shared" si="24"/>
        <v>33</v>
      </c>
      <c r="M532">
        <f t="shared" si="25"/>
        <v>0</v>
      </c>
      <c r="N532">
        <f t="shared" si="26"/>
        <v>0</v>
      </c>
    </row>
    <row r="533" spans="1:14">
      <c r="A533">
        <v>7471</v>
      </c>
      <c r="B533" t="s">
        <v>1210</v>
      </c>
      <c r="C533" t="s">
        <v>754</v>
      </c>
      <c r="D533" t="s">
        <v>841</v>
      </c>
      <c r="E533">
        <v>82568</v>
      </c>
      <c r="G533" s="2">
        <v>0.50555555555555554</v>
      </c>
      <c r="H533" s="2">
        <v>0.51111111111111118</v>
      </c>
      <c r="J533">
        <v>0.126455409862746</v>
      </c>
      <c r="K533" t="s">
        <v>798</v>
      </c>
      <c r="L533" t="str">
        <f t="shared" si="24"/>
        <v>33</v>
      </c>
      <c r="M533">
        <f t="shared" si="25"/>
        <v>0</v>
      </c>
      <c r="N533">
        <f t="shared" si="26"/>
        <v>0</v>
      </c>
    </row>
    <row r="534" spans="1:14">
      <c r="A534">
        <v>7471</v>
      </c>
      <c r="B534" t="s">
        <v>1210</v>
      </c>
      <c r="C534" t="s">
        <v>754</v>
      </c>
      <c r="D534" t="s">
        <v>841</v>
      </c>
      <c r="E534">
        <v>82568</v>
      </c>
      <c r="G534" s="2">
        <v>0.51111111111111118</v>
      </c>
      <c r="H534" s="2">
        <v>0.5131944444444444</v>
      </c>
      <c r="J534">
        <v>4.7420778698530001E-2</v>
      </c>
      <c r="K534" t="s">
        <v>902</v>
      </c>
      <c r="L534" t="str">
        <f t="shared" si="24"/>
        <v>33</v>
      </c>
      <c r="M534">
        <f t="shared" si="25"/>
        <v>0</v>
      </c>
      <c r="N534">
        <f t="shared" si="26"/>
        <v>0</v>
      </c>
    </row>
    <row r="535" spans="1:14">
      <c r="A535">
        <v>7471</v>
      </c>
      <c r="B535" t="s">
        <v>1210</v>
      </c>
      <c r="C535" t="s">
        <v>754</v>
      </c>
      <c r="D535" t="s">
        <v>841</v>
      </c>
      <c r="E535">
        <v>82568</v>
      </c>
      <c r="G535" s="2">
        <v>0.5131944444444444</v>
      </c>
      <c r="H535" s="2">
        <v>0.51597222222222217</v>
      </c>
      <c r="J535">
        <v>6.3227704931373294E-2</v>
      </c>
      <c r="K535" t="s">
        <v>798</v>
      </c>
      <c r="L535" t="str">
        <f t="shared" si="24"/>
        <v>33</v>
      </c>
      <c r="M535">
        <f t="shared" si="25"/>
        <v>0</v>
      </c>
      <c r="N535">
        <f t="shared" si="26"/>
        <v>0</v>
      </c>
    </row>
    <row r="536" spans="1:14">
      <c r="A536">
        <v>7471</v>
      </c>
      <c r="B536" t="s">
        <v>1210</v>
      </c>
      <c r="C536" t="s">
        <v>754</v>
      </c>
      <c r="D536" t="s">
        <v>841</v>
      </c>
      <c r="E536">
        <v>82568</v>
      </c>
      <c r="G536" s="2">
        <v>0.51597222222222217</v>
      </c>
      <c r="H536" s="2">
        <v>0.52083333333333337</v>
      </c>
      <c r="J536">
        <v>0.110648483629903</v>
      </c>
      <c r="K536" t="s">
        <v>902</v>
      </c>
      <c r="L536" t="str">
        <f t="shared" si="24"/>
        <v>33</v>
      </c>
      <c r="M536">
        <f t="shared" si="25"/>
        <v>0</v>
      </c>
      <c r="N536">
        <f t="shared" si="26"/>
        <v>0</v>
      </c>
    </row>
    <row r="537" spans="1:14">
      <c r="A537">
        <v>7471</v>
      </c>
      <c r="B537" t="s">
        <v>1210</v>
      </c>
      <c r="C537" t="s">
        <v>754</v>
      </c>
      <c r="D537" t="s">
        <v>841</v>
      </c>
      <c r="E537">
        <v>82568</v>
      </c>
      <c r="G537" s="2">
        <v>0.52083333333333337</v>
      </c>
      <c r="H537" s="2">
        <v>0.53472222222222221</v>
      </c>
      <c r="J537">
        <v>0.31613852465686598</v>
      </c>
      <c r="K537" t="s">
        <v>834</v>
      </c>
      <c r="L537" t="str">
        <f t="shared" si="24"/>
        <v>33</v>
      </c>
      <c r="M537">
        <f t="shared" si="25"/>
        <v>0</v>
      </c>
      <c r="N537">
        <f t="shared" si="26"/>
        <v>0</v>
      </c>
    </row>
    <row r="538" spans="1:14">
      <c r="A538">
        <v>7471</v>
      </c>
      <c r="B538" t="s">
        <v>1210</v>
      </c>
      <c r="C538" t="s">
        <v>754</v>
      </c>
      <c r="D538" t="s">
        <v>841</v>
      </c>
      <c r="E538">
        <v>82568</v>
      </c>
      <c r="G538" s="2">
        <v>0.53472222222222221</v>
      </c>
      <c r="H538" s="2">
        <v>0.54166666666666663</v>
      </c>
      <c r="J538">
        <v>0.15806926232843299</v>
      </c>
      <c r="K538" t="s">
        <v>798</v>
      </c>
      <c r="L538" t="str">
        <f t="shared" si="24"/>
        <v>33</v>
      </c>
      <c r="M538">
        <f t="shared" si="25"/>
        <v>0</v>
      </c>
      <c r="N538">
        <f t="shared" si="26"/>
        <v>0</v>
      </c>
    </row>
    <row r="539" spans="1:14">
      <c r="A539">
        <v>7471</v>
      </c>
      <c r="B539" t="s">
        <v>1210</v>
      </c>
      <c r="C539" t="s">
        <v>754</v>
      </c>
      <c r="D539" t="s">
        <v>841</v>
      </c>
      <c r="E539">
        <v>82568</v>
      </c>
      <c r="G539" s="2">
        <v>0.54166666666666663</v>
      </c>
      <c r="H539" s="2">
        <v>0.54305555555555551</v>
      </c>
      <c r="J539">
        <v>3.1613852465686598E-2</v>
      </c>
      <c r="K539" t="s">
        <v>902</v>
      </c>
      <c r="L539" t="str">
        <f t="shared" si="24"/>
        <v>33</v>
      </c>
      <c r="M539">
        <f t="shared" si="25"/>
        <v>0</v>
      </c>
      <c r="N539">
        <f t="shared" si="26"/>
        <v>0</v>
      </c>
    </row>
    <row r="540" spans="1:14">
      <c r="A540">
        <v>7471</v>
      </c>
      <c r="B540" t="s">
        <v>1210</v>
      </c>
      <c r="C540" t="s">
        <v>754</v>
      </c>
      <c r="D540" t="s">
        <v>841</v>
      </c>
      <c r="E540">
        <v>82568</v>
      </c>
      <c r="G540" s="2">
        <v>0.54305555555555551</v>
      </c>
      <c r="H540" s="2">
        <v>0.54513888888888895</v>
      </c>
      <c r="J540">
        <v>4.7420778698530001E-2</v>
      </c>
      <c r="K540" t="s">
        <v>798</v>
      </c>
      <c r="L540" t="str">
        <f t="shared" si="24"/>
        <v>33</v>
      </c>
      <c r="M540">
        <f t="shared" si="25"/>
        <v>0</v>
      </c>
      <c r="N540">
        <f t="shared" si="26"/>
        <v>0</v>
      </c>
    </row>
    <row r="541" spans="1:14">
      <c r="A541">
        <v>7471</v>
      </c>
      <c r="B541" t="s">
        <v>1210</v>
      </c>
      <c r="C541" t="s">
        <v>754</v>
      </c>
      <c r="D541" t="s">
        <v>841</v>
      </c>
      <c r="E541">
        <v>82568</v>
      </c>
      <c r="G541" s="2">
        <v>0.54513888888888895</v>
      </c>
      <c r="H541" s="2">
        <v>0.54791666666666672</v>
      </c>
      <c r="J541">
        <v>6.3227704931373294E-2</v>
      </c>
      <c r="K541" t="s">
        <v>902</v>
      </c>
      <c r="L541" t="str">
        <f t="shared" si="24"/>
        <v>33</v>
      </c>
      <c r="M541">
        <f t="shared" si="25"/>
        <v>0</v>
      </c>
      <c r="N541">
        <f t="shared" si="26"/>
        <v>0</v>
      </c>
    </row>
    <row r="542" spans="1:14">
      <c r="A542">
        <v>7471</v>
      </c>
      <c r="B542" t="s">
        <v>1210</v>
      </c>
      <c r="C542" t="s">
        <v>754</v>
      </c>
      <c r="D542" t="s">
        <v>841</v>
      </c>
      <c r="E542">
        <v>82568</v>
      </c>
      <c r="G542" s="2">
        <v>0.54791666666666672</v>
      </c>
      <c r="H542" s="2">
        <v>0.55208333333333337</v>
      </c>
      <c r="J542">
        <v>9.4841557397059906E-2</v>
      </c>
      <c r="K542" t="s">
        <v>798</v>
      </c>
      <c r="L542" t="str">
        <f t="shared" si="24"/>
        <v>33</v>
      </c>
      <c r="M542">
        <f t="shared" si="25"/>
        <v>0</v>
      </c>
      <c r="N542">
        <f t="shared" si="26"/>
        <v>0</v>
      </c>
    </row>
    <row r="543" spans="1:14">
      <c r="A543">
        <v>7471</v>
      </c>
      <c r="B543" t="s">
        <v>1210</v>
      </c>
      <c r="C543" t="s">
        <v>754</v>
      </c>
      <c r="D543" t="s">
        <v>841</v>
      </c>
      <c r="E543">
        <v>82568</v>
      </c>
      <c r="G543" s="2">
        <v>0.55208333333333337</v>
      </c>
      <c r="H543" s="2">
        <v>0.55694444444444446</v>
      </c>
      <c r="J543">
        <v>0.110648483629903</v>
      </c>
      <c r="K543" t="s">
        <v>902</v>
      </c>
      <c r="L543" t="str">
        <f t="shared" si="24"/>
        <v>33</v>
      </c>
      <c r="M543">
        <f t="shared" si="25"/>
        <v>0</v>
      </c>
      <c r="N543">
        <f t="shared" si="26"/>
        <v>0</v>
      </c>
    </row>
    <row r="544" spans="1:14">
      <c r="A544">
        <v>7471</v>
      </c>
      <c r="B544" t="s">
        <v>1210</v>
      </c>
      <c r="C544" t="s">
        <v>754</v>
      </c>
      <c r="D544" t="s">
        <v>841</v>
      </c>
      <c r="E544">
        <v>82568</v>
      </c>
      <c r="G544" s="2">
        <v>0.55694444444444446</v>
      </c>
      <c r="H544" s="2">
        <v>0.55972222222222223</v>
      </c>
      <c r="J544">
        <v>6.3227704931373294E-2</v>
      </c>
      <c r="K544" t="s">
        <v>798</v>
      </c>
      <c r="L544" t="str">
        <f t="shared" si="24"/>
        <v>33</v>
      </c>
      <c r="M544">
        <f t="shared" si="25"/>
        <v>0</v>
      </c>
      <c r="N544">
        <f t="shared" si="26"/>
        <v>0</v>
      </c>
    </row>
    <row r="545" spans="1:14">
      <c r="A545">
        <v>7471</v>
      </c>
      <c r="B545" t="s">
        <v>1210</v>
      </c>
      <c r="C545" t="s">
        <v>754</v>
      </c>
      <c r="D545" t="s">
        <v>841</v>
      </c>
      <c r="E545">
        <v>82568</v>
      </c>
      <c r="G545" s="2">
        <v>0.55972222222222223</v>
      </c>
      <c r="H545" s="2">
        <v>0.56111111111111112</v>
      </c>
      <c r="J545">
        <v>3.1613852465686598E-2</v>
      </c>
      <c r="K545" t="s">
        <v>902</v>
      </c>
      <c r="L545" t="str">
        <f t="shared" si="24"/>
        <v>33</v>
      </c>
      <c r="M545">
        <f t="shared" si="25"/>
        <v>0</v>
      </c>
      <c r="N545">
        <f t="shared" si="26"/>
        <v>0</v>
      </c>
    </row>
    <row r="546" spans="1:14">
      <c r="A546">
        <v>7471</v>
      </c>
      <c r="B546" t="s">
        <v>1210</v>
      </c>
      <c r="C546" t="s">
        <v>754</v>
      </c>
      <c r="D546" t="s">
        <v>841</v>
      </c>
      <c r="E546">
        <v>82568</v>
      </c>
      <c r="G546" s="2">
        <v>0.56111111111111112</v>
      </c>
      <c r="H546" s="2">
        <v>0.56319444444444444</v>
      </c>
      <c r="J546">
        <v>4.7420778698530001E-2</v>
      </c>
      <c r="K546" t="s">
        <v>798</v>
      </c>
      <c r="L546" t="str">
        <f t="shared" si="24"/>
        <v>33</v>
      </c>
      <c r="M546">
        <f t="shared" si="25"/>
        <v>0</v>
      </c>
      <c r="N546">
        <f t="shared" si="26"/>
        <v>0</v>
      </c>
    </row>
    <row r="547" spans="1:14">
      <c r="A547">
        <v>7471</v>
      </c>
      <c r="B547" t="s">
        <v>1210</v>
      </c>
      <c r="C547" t="s">
        <v>754</v>
      </c>
      <c r="D547" t="s">
        <v>841</v>
      </c>
      <c r="E547">
        <v>82568</v>
      </c>
      <c r="G547" s="2">
        <v>0.56319444444444444</v>
      </c>
      <c r="H547" s="2">
        <v>0.57847222222222217</v>
      </c>
      <c r="J547">
        <v>0.34775237712255302</v>
      </c>
      <c r="K547" t="s">
        <v>902</v>
      </c>
      <c r="L547" t="str">
        <f t="shared" si="24"/>
        <v>33</v>
      </c>
      <c r="M547">
        <f t="shared" si="25"/>
        <v>0</v>
      </c>
      <c r="N547">
        <f t="shared" si="26"/>
        <v>0</v>
      </c>
    </row>
    <row r="548" spans="1:14">
      <c r="A548">
        <v>7471</v>
      </c>
      <c r="B548" t="s">
        <v>1210</v>
      </c>
      <c r="C548" t="s">
        <v>754</v>
      </c>
      <c r="D548" t="s">
        <v>841</v>
      </c>
      <c r="E548">
        <v>82568</v>
      </c>
      <c r="G548" s="2">
        <v>0.57847222222222217</v>
      </c>
      <c r="H548" s="2">
        <v>0.58402777777777781</v>
      </c>
      <c r="J548">
        <v>0.126455409862746</v>
      </c>
      <c r="K548" t="s">
        <v>798</v>
      </c>
      <c r="L548" t="str">
        <f t="shared" si="24"/>
        <v>33</v>
      </c>
      <c r="M548">
        <f t="shared" si="25"/>
        <v>0</v>
      </c>
      <c r="N548">
        <f t="shared" si="26"/>
        <v>0</v>
      </c>
    </row>
    <row r="549" spans="1:14">
      <c r="A549">
        <v>7471</v>
      </c>
      <c r="B549" t="s">
        <v>1210</v>
      </c>
      <c r="C549" t="s">
        <v>754</v>
      </c>
      <c r="D549" t="s">
        <v>841</v>
      </c>
      <c r="E549">
        <v>82568</v>
      </c>
      <c r="G549" s="2">
        <v>0.58402777777777781</v>
      </c>
      <c r="H549" s="2">
        <v>0.59305555555555556</v>
      </c>
      <c r="J549">
        <v>0.205490041026963</v>
      </c>
      <c r="K549" t="s">
        <v>834</v>
      </c>
      <c r="L549" t="str">
        <f t="shared" si="24"/>
        <v>33</v>
      </c>
      <c r="M549">
        <f t="shared" si="25"/>
        <v>0</v>
      </c>
      <c r="N549">
        <f t="shared" si="26"/>
        <v>0</v>
      </c>
    </row>
    <row r="550" spans="1:14">
      <c r="A550">
        <v>7471</v>
      </c>
      <c r="B550" t="s">
        <v>1210</v>
      </c>
      <c r="C550" t="s">
        <v>754</v>
      </c>
      <c r="D550" t="s">
        <v>841</v>
      </c>
      <c r="E550">
        <v>82568</v>
      </c>
      <c r="G550" s="2">
        <v>0.59305555555555556</v>
      </c>
      <c r="H550" s="2">
        <v>0.625</v>
      </c>
      <c r="J550">
        <v>0.72711860671079198</v>
      </c>
      <c r="K550" t="s">
        <v>798</v>
      </c>
      <c r="L550" t="str">
        <f t="shared" si="24"/>
        <v>33</v>
      </c>
      <c r="M550">
        <f t="shared" si="25"/>
        <v>0</v>
      </c>
      <c r="N550">
        <f t="shared" si="26"/>
        <v>0</v>
      </c>
    </row>
    <row r="551" spans="1:14">
      <c r="A551">
        <v>4075</v>
      </c>
      <c r="B551" t="s">
        <v>1105</v>
      </c>
      <c r="C551" t="s">
        <v>756</v>
      </c>
      <c r="D551" t="s">
        <v>795</v>
      </c>
      <c r="E551">
        <v>908761</v>
      </c>
      <c r="G551" s="2">
        <v>0.84097222222222223</v>
      </c>
      <c r="H551" s="2">
        <v>0.91319444444444453</v>
      </c>
      <c r="J551">
        <v>1.6252650018230601</v>
      </c>
      <c r="K551" t="s">
        <v>796</v>
      </c>
      <c r="L551" t="str">
        <f t="shared" si="24"/>
        <v>37</v>
      </c>
      <c r="M551">
        <f t="shared" si="25"/>
        <v>0</v>
      </c>
      <c r="N551">
        <f t="shared" si="26"/>
        <v>0</v>
      </c>
    </row>
    <row r="552" spans="1:14">
      <c r="A552">
        <v>4075</v>
      </c>
      <c r="B552" t="s">
        <v>1105</v>
      </c>
      <c r="C552" t="s">
        <v>756</v>
      </c>
      <c r="D552" t="s">
        <v>795</v>
      </c>
      <c r="E552">
        <v>908761</v>
      </c>
      <c r="G552" s="2">
        <v>0.91319444444444453</v>
      </c>
      <c r="H552" s="2">
        <v>0.91874999999999996</v>
      </c>
      <c r="J552">
        <v>0.125020384755619</v>
      </c>
      <c r="K552" t="s">
        <v>797</v>
      </c>
      <c r="L552" t="str">
        <f t="shared" si="24"/>
        <v>37</v>
      </c>
      <c r="M552">
        <f t="shared" si="25"/>
        <v>0</v>
      </c>
      <c r="N552">
        <f t="shared" si="26"/>
        <v>0</v>
      </c>
    </row>
    <row r="553" spans="1:14">
      <c r="A553">
        <v>4075</v>
      </c>
      <c r="B553" t="s">
        <v>1105</v>
      </c>
      <c r="C553" t="s">
        <v>756</v>
      </c>
      <c r="D553" t="s">
        <v>795</v>
      </c>
      <c r="E553">
        <v>908761</v>
      </c>
      <c r="G553" s="2">
        <v>0.91874999999999996</v>
      </c>
      <c r="H553" s="2">
        <v>0.96805555555555556</v>
      </c>
      <c r="J553">
        <v>1.10955591470612</v>
      </c>
      <c r="K553" t="s">
        <v>796</v>
      </c>
      <c r="L553" t="str">
        <f t="shared" si="24"/>
        <v>37</v>
      </c>
      <c r="M553">
        <f t="shared" si="25"/>
        <v>0</v>
      </c>
      <c r="N553">
        <f t="shared" si="26"/>
        <v>0</v>
      </c>
    </row>
    <row r="554" spans="1:14">
      <c r="A554">
        <v>4075</v>
      </c>
      <c r="B554" t="s">
        <v>1105</v>
      </c>
      <c r="C554" t="s">
        <v>756</v>
      </c>
      <c r="D554" t="s">
        <v>795</v>
      </c>
      <c r="E554">
        <v>908761</v>
      </c>
      <c r="G554" s="2">
        <v>0.96805555555555556</v>
      </c>
      <c r="H554" s="2">
        <v>0.97499999999999998</v>
      </c>
      <c r="J554">
        <v>0.15627548094452501</v>
      </c>
      <c r="K554" t="s">
        <v>797</v>
      </c>
      <c r="L554" t="str">
        <f t="shared" si="24"/>
        <v>37</v>
      </c>
      <c r="M554">
        <f t="shared" si="25"/>
        <v>0</v>
      </c>
      <c r="N554">
        <f t="shared" si="26"/>
        <v>0</v>
      </c>
    </row>
    <row r="555" spans="1:14">
      <c r="A555">
        <v>4075</v>
      </c>
      <c r="B555" t="s">
        <v>1105</v>
      </c>
      <c r="C555" t="s">
        <v>756</v>
      </c>
      <c r="D555" t="s">
        <v>795</v>
      </c>
      <c r="E555">
        <v>908761</v>
      </c>
      <c r="G555" s="2">
        <v>0.97499999999999998</v>
      </c>
      <c r="H555" s="2">
        <v>2.0833333333333333E-3</v>
      </c>
      <c r="J555">
        <v>0.60947437568364804</v>
      </c>
      <c r="K555" t="s">
        <v>796</v>
      </c>
      <c r="L555" t="str">
        <f t="shared" si="24"/>
        <v>37</v>
      </c>
      <c r="M555">
        <f t="shared" si="25"/>
        <v>0</v>
      </c>
      <c r="N555">
        <f t="shared" si="26"/>
        <v>0</v>
      </c>
    </row>
    <row r="556" spans="1:14">
      <c r="A556">
        <v>4075</v>
      </c>
      <c r="B556" t="s">
        <v>1105</v>
      </c>
      <c r="C556" t="s">
        <v>756</v>
      </c>
      <c r="D556" t="s">
        <v>795</v>
      </c>
      <c r="E556">
        <v>908761</v>
      </c>
      <c r="G556" s="2">
        <v>2.0833333333333333E-3</v>
      </c>
      <c r="H556" s="2">
        <v>3.2638888888888891E-2</v>
      </c>
      <c r="J556">
        <v>0.687612116155911</v>
      </c>
      <c r="K556" t="s">
        <v>797</v>
      </c>
      <c r="L556" t="str">
        <f t="shared" si="24"/>
        <v>37</v>
      </c>
      <c r="M556">
        <f t="shared" si="25"/>
        <v>0</v>
      </c>
      <c r="N556">
        <f t="shared" si="26"/>
        <v>0</v>
      </c>
    </row>
    <row r="557" spans="1:14">
      <c r="A557">
        <v>4075</v>
      </c>
      <c r="B557" t="s">
        <v>1105</v>
      </c>
      <c r="C557" t="s">
        <v>756</v>
      </c>
      <c r="D557" t="s">
        <v>795</v>
      </c>
      <c r="E557">
        <v>908761</v>
      </c>
      <c r="G557" s="2">
        <v>3.2638888888888891E-2</v>
      </c>
      <c r="H557" s="2">
        <v>5.0694444444444452E-2</v>
      </c>
      <c r="J557">
        <v>0.40631625045576503</v>
      </c>
      <c r="K557" t="s">
        <v>796</v>
      </c>
      <c r="L557" t="str">
        <f t="shared" si="24"/>
        <v>37</v>
      </c>
      <c r="M557">
        <f t="shared" si="25"/>
        <v>0</v>
      </c>
      <c r="N557">
        <f t="shared" si="26"/>
        <v>0</v>
      </c>
    </row>
    <row r="558" spans="1:14">
      <c r="A558">
        <v>4075</v>
      </c>
      <c r="B558" t="s">
        <v>1105</v>
      </c>
      <c r="C558" t="s">
        <v>756</v>
      </c>
      <c r="D558" t="s">
        <v>795</v>
      </c>
      <c r="E558">
        <v>908761</v>
      </c>
      <c r="G558" s="2">
        <v>5.0694444444444452E-2</v>
      </c>
      <c r="H558" s="2">
        <v>5.8333333333333327E-2</v>
      </c>
      <c r="J558">
        <v>0.171903029038977</v>
      </c>
      <c r="K558" t="s">
        <v>797</v>
      </c>
      <c r="L558" t="str">
        <f t="shared" si="24"/>
        <v>37</v>
      </c>
      <c r="M558">
        <f t="shared" si="25"/>
        <v>0</v>
      </c>
      <c r="N558">
        <f t="shared" si="26"/>
        <v>0</v>
      </c>
    </row>
    <row r="559" spans="1:14">
      <c r="A559">
        <v>4075</v>
      </c>
      <c r="B559" t="s">
        <v>1105</v>
      </c>
      <c r="C559" t="s">
        <v>756</v>
      </c>
      <c r="D559" t="s">
        <v>795</v>
      </c>
      <c r="E559">
        <v>908761</v>
      </c>
      <c r="G559" s="2">
        <v>5.8333333333333327E-2</v>
      </c>
      <c r="H559" s="2">
        <v>0.11458333333333333</v>
      </c>
      <c r="J559">
        <v>1.2658313956506499</v>
      </c>
      <c r="K559" t="s">
        <v>796</v>
      </c>
      <c r="L559" t="str">
        <f t="shared" si="24"/>
        <v>37</v>
      </c>
      <c r="M559">
        <f t="shared" si="25"/>
        <v>0</v>
      </c>
      <c r="N559">
        <f t="shared" si="26"/>
        <v>0</v>
      </c>
    </row>
    <row r="560" spans="1:14">
      <c r="A560">
        <v>4075</v>
      </c>
      <c r="B560" t="s">
        <v>1105</v>
      </c>
      <c r="C560" t="s">
        <v>756</v>
      </c>
      <c r="D560" t="s">
        <v>795</v>
      </c>
      <c r="E560">
        <v>908761</v>
      </c>
      <c r="G560" s="2">
        <v>0.11458333333333333</v>
      </c>
      <c r="H560" s="2">
        <v>0.12569444444444444</v>
      </c>
      <c r="J560">
        <v>0.25004076951123999</v>
      </c>
      <c r="K560" t="s">
        <v>797</v>
      </c>
      <c r="L560" t="str">
        <f t="shared" si="24"/>
        <v>37</v>
      </c>
      <c r="M560">
        <f t="shared" si="25"/>
        <v>0</v>
      </c>
      <c r="N560">
        <f t="shared" si="26"/>
        <v>0</v>
      </c>
    </row>
    <row r="561" spans="1:14">
      <c r="A561">
        <v>4075</v>
      </c>
      <c r="B561" t="s">
        <v>1105</v>
      </c>
      <c r="C561" t="s">
        <v>756</v>
      </c>
      <c r="D561" t="s">
        <v>795</v>
      </c>
      <c r="E561">
        <v>908761</v>
      </c>
      <c r="G561" s="2">
        <v>0.12569444444444444</v>
      </c>
      <c r="H561" s="2">
        <v>0.16666666666666666</v>
      </c>
      <c r="J561">
        <v>0.922025337572699</v>
      </c>
      <c r="K561" t="s">
        <v>778</v>
      </c>
      <c r="L561" t="str">
        <f t="shared" si="24"/>
        <v>37</v>
      </c>
      <c r="M561">
        <f t="shared" si="25"/>
        <v>0</v>
      </c>
      <c r="N561">
        <f t="shared" si="26"/>
        <v>0</v>
      </c>
    </row>
    <row r="562" spans="1:14">
      <c r="A562">
        <v>4085</v>
      </c>
      <c r="B562" t="s">
        <v>1211</v>
      </c>
      <c r="C562" t="s">
        <v>756</v>
      </c>
      <c r="E562">
        <v>908769</v>
      </c>
      <c r="G562" s="2">
        <v>0.46319444444444446</v>
      </c>
      <c r="H562" s="2">
        <v>0.75208333333333333</v>
      </c>
      <c r="J562">
        <v>6.4900235304618699</v>
      </c>
      <c r="K562" t="s">
        <v>815</v>
      </c>
      <c r="L562" t="str">
        <f t="shared" si="24"/>
        <v>46</v>
      </c>
      <c r="M562">
        <f t="shared" si="25"/>
        <v>0</v>
      </c>
      <c r="N562">
        <f t="shared" si="26"/>
        <v>0</v>
      </c>
    </row>
    <row r="563" spans="1:14">
      <c r="A563">
        <v>4085</v>
      </c>
      <c r="B563" t="s">
        <v>1211</v>
      </c>
      <c r="C563" t="s">
        <v>756</v>
      </c>
      <c r="E563">
        <v>908769</v>
      </c>
      <c r="G563" s="2">
        <v>0.75208333333333333</v>
      </c>
      <c r="H563" s="2">
        <v>0.75555555555555554</v>
      </c>
      <c r="J563">
        <v>7.8005090510359004E-2</v>
      </c>
      <c r="K563" t="s">
        <v>877</v>
      </c>
      <c r="L563" t="str">
        <f t="shared" si="24"/>
        <v>46</v>
      </c>
      <c r="M563">
        <f t="shared" si="25"/>
        <v>0</v>
      </c>
      <c r="N563">
        <f t="shared" si="26"/>
        <v>0</v>
      </c>
    </row>
    <row r="564" spans="1:14">
      <c r="A564">
        <v>4085</v>
      </c>
      <c r="B564" t="s">
        <v>1211</v>
      </c>
      <c r="C564" t="s">
        <v>756</v>
      </c>
      <c r="E564">
        <v>908769</v>
      </c>
      <c r="G564" s="2">
        <v>0.75555555555555554</v>
      </c>
      <c r="H564" s="2">
        <v>0.79166666666666663</v>
      </c>
      <c r="J564">
        <v>0.81125294130773395</v>
      </c>
      <c r="K564" t="s">
        <v>778</v>
      </c>
      <c r="L564" t="str">
        <f t="shared" si="24"/>
        <v>37</v>
      </c>
      <c r="M564">
        <f t="shared" si="25"/>
        <v>0</v>
      </c>
      <c r="N564">
        <f t="shared" si="26"/>
        <v>0</v>
      </c>
    </row>
    <row r="565" spans="1:14">
      <c r="A565">
        <v>7099</v>
      </c>
      <c r="B565" t="s">
        <v>903</v>
      </c>
      <c r="C565" t="s">
        <v>755</v>
      </c>
      <c r="D565" t="s">
        <v>818</v>
      </c>
      <c r="E565">
        <v>18977</v>
      </c>
      <c r="G565" s="2">
        <v>0.16041666666666668</v>
      </c>
      <c r="H565" s="2">
        <v>0.22083333333333333</v>
      </c>
      <c r="J565">
        <v>1.3602855515212</v>
      </c>
      <c r="K565" t="s">
        <v>853</v>
      </c>
      <c r="L565" t="str">
        <f t="shared" si="24"/>
        <v>33</v>
      </c>
      <c r="M565">
        <f t="shared" si="25"/>
        <v>0</v>
      </c>
      <c r="N565">
        <f t="shared" si="26"/>
        <v>0</v>
      </c>
    </row>
    <row r="566" spans="1:14">
      <c r="A566">
        <v>7099</v>
      </c>
      <c r="B566" t="s">
        <v>903</v>
      </c>
      <c r="C566" t="s">
        <v>755</v>
      </c>
      <c r="D566" t="s">
        <v>818</v>
      </c>
      <c r="E566">
        <v>18977</v>
      </c>
      <c r="G566" s="2">
        <v>0.22083333333333333</v>
      </c>
      <c r="H566" s="2">
        <v>0.22152777777777777</v>
      </c>
      <c r="J566">
        <v>1.5635466109439101E-2</v>
      </c>
      <c r="K566" t="s">
        <v>853</v>
      </c>
      <c r="L566" t="str">
        <f t="shared" si="24"/>
        <v>33</v>
      </c>
      <c r="M566">
        <f t="shared" si="25"/>
        <v>0</v>
      </c>
      <c r="N566">
        <f t="shared" si="26"/>
        <v>0</v>
      </c>
    </row>
    <row r="567" spans="1:14">
      <c r="A567">
        <v>7099</v>
      </c>
      <c r="B567" t="s">
        <v>903</v>
      </c>
      <c r="C567" t="s">
        <v>755</v>
      </c>
      <c r="D567" t="s">
        <v>818</v>
      </c>
      <c r="E567">
        <v>18977</v>
      </c>
      <c r="G567" s="2">
        <v>0.22152777777777777</v>
      </c>
      <c r="H567" s="2">
        <v>0.5</v>
      </c>
      <c r="J567">
        <v>6.2698219098850698</v>
      </c>
      <c r="K567" t="s">
        <v>853</v>
      </c>
      <c r="L567" t="str">
        <f t="shared" si="24"/>
        <v>33</v>
      </c>
      <c r="M567">
        <f t="shared" si="25"/>
        <v>0</v>
      </c>
      <c r="N567">
        <f t="shared" si="26"/>
        <v>0</v>
      </c>
    </row>
    <row r="568" spans="1:14">
      <c r="A568">
        <v>8012</v>
      </c>
      <c r="B568" t="s">
        <v>904</v>
      </c>
      <c r="C568" t="s">
        <v>754</v>
      </c>
      <c r="D568" t="s">
        <v>775</v>
      </c>
      <c r="E568">
        <v>37927</v>
      </c>
      <c r="G568" s="2">
        <v>0.29166666666666669</v>
      </c>
      <c r="H568" s="2">
        <v>0.64583333333333337</v>
      </c>
      <c r="J568">
        <v>8</v>
      </c>
      <c r="K568" t="s">
        <v>793</v>
      </c>
      <c r="L568" t="str">
        <f t="shared" si="24"/>
        <v>33</v>
      </c>
      <c r="M568">
        <f t="shared" si="25"/>
        <v>0</v>
      </c>
      <c r="N568">
        <f t="shared" si="26"/>
        <v>0</v>
      </c>
    </row>
    <row r="569" spans="1:14">
      <c r="A569">
        <v>7982</v>
      </c>
      <c r="B569" t="s">
        <v>1212</v>
      </c>
      <c r="C569" t="s">
        <v>755</v>
      </c>
      <c r="D569" t="s">
        <v>905</v>
      </c>
      <c r="E569">
        <v>902886</v>
      </c>
      <c r="G569" s="2">
        <v>0.5083333333333333</v>
      </c>
      <c r="H569" s="2">
        <v>0.58472222222222225</v>
      </c>
      <c r="J569">
        <v>1.8323195916853601</v>
      </c>
      <c r="K569" t="s">
        <v>759</v>
      </c>
      <c r="L569" t="str">
        <f t="shared" si="24"/>
        <v>33</v>
      </c>
      <c r="M569">
        <f t="shared" si="25"/>
        <v>0</v>
      </c>
      <c r="N569">
        <f t="shared" si="26"/>
        <v>0</v>
      </c>
    </row>
    <row r="570" spans="1:14">
      <c r="A570">
        <v>7982</v>
      </c>
      <c r="B570" t="s">
        <v>1212</v>
      </c>
      <c r="C570" t="s">
        <v>755</v>
      </c>
      <c r="D570" t="s">
        <v>905</v>
      </c>
      <c r="E570">
        <v>902886</v>
      </c>
      <c r="G570" s="2">
        <v>0.58472222222222225</v>
      </c>
      <c r="H570" s="2">
        <v>0.58819444444444446</v>
      </c>
      <c r="J570">
        <v>8.3287254167516603E-2</v>
      </c>
      <c r="K570" t="s">
        <v>842</v>
      </c>
      <c r="L570" t="str">
        <f t="shared" si="24"/>
        <v>33</v>
      </c>
      <c r="M570">
        <f t="shared" si="25"/>
        <v>0</v>
      </c>
      <c r="N570">
        <f t="shared" si="26"/>
        <v>0</v>
      </c>
    </row>
    <row r="571" spans="1:14">
      <c r="A571">
        <v>7982</v>
      </c>
      <c r="B571" t="s">
        <v>1212</v>
      </c>
      <c r="C571" t="s">
        <v>755</v>
      </c>
      <c r="D571" t="s">
        <v>905</v>
      </c>
      <c r="E571">
        <v>902886</v>
      </c>
      <c r="G571" s="2">
        <v>0.58819444444444446</v>
      </c>
      <c r="H571" s="2">
        <v>0.66249999999999998</v>
      </c>
      <c r="J571">
        <v>1.7823472391848501</v>
      </c>
      <c r="K571" t="s">
        <v>780</v>
      </c>
      <c r="L571" t="str">
        <f t="shared" si="24"/>
        <v>46</v>
      </c>
      <c r="M571">
        <f t="shared" si="25"/>
        <v>0</v>
      </c>
      <c r="N571">
        <f t="shared" si="26"/>
        <v>0</v>
      </c>
    </row>
    <row r="572" spans="1:14">
      <c r="A572">
        <v>7982</v>
      </c>
      <c r="B572" t="s">
        <v>1212</v>
      </c>
      <c r="C572" t="s">
        <v>755</v>
      </c>
      <c r="D572" t="s">
        <v>905</v>
      </c>
      <c r="E572">
        <v>902886</v>
      </c>
      <c r="G572" s="2">
        <v>0.66249999999999998</v>
      </c>
      <c r="H572" s="2">
        <v>0.69236111111111109</v>
      </c>
      <c r="J572">
        <v>0.71627038584064295</v>
      </c>
      <c r="K572" t="s">
        <v>779</v>
      </c>
      <c r="L572" t="str">
        <f t="shared" si="24"/>
        <v>37</v>
      </c>
      <c r="M572">
        <f t="shared" si="25"/>
        <v>0</v>
      </c>
      <c r="N572">
        <f t="shared" si="26"/>
        <v>0</v>
      </c>
    </row>
    <row r="573" spans="1:14">
      <c r="A573">
        <v>7982</v>
      </c>
      <c r="B573" t="s">
        <v>1212</v>
      </c>
      <c r="C573" t="s">
        <v>755</v>
      </c>
      <c r="D573" t="s">
        <v>905</v>
      </c>
      <c r="E573">
        <v>902886</v>
      </c>
      <c r="G573" s="2">
        <v>0.69236111111111109</v>
      </c>
      <c r="H573" s="2">
        <v>0.77430555555555547</v>
      </c>
      <c r="J573">
        <v>1.9655791983533899</v>
      </c>
      <c r="K573" t="s">
        <v>780</v>
      </c>
      <c r="L573" t="str">
        <f t="shared" si="24"/>
        <v>46</v>
      </c>
      <c r="M573">
        <f t="shared" si="25"/>
        <v>0</v>
      </c>
      <c r="N573">
        <f t="shared" si="26"/>
        <v>0</v>
      </c>
    </row>
    <row r="574" spans="1:14">
      <c r="A574">
        <v>7982</v>
      </c>
      <c r="B574" t="s">
        <v>1212</v>
      </c>
      <c r="C574" t="s">
        <v>755</v>
      </c>
      <c r="D574" t="s">
        <v>905</v>
      </c>
      <c r="E574">
        <v>902886</v>
      </c>
      <c r="G574" s="2">
        <v>0.77430555555555547</v>
      </c>
      <c r="H574" s="2">
        <v>0.80208333333333337</v>
      </c>
      <c r="J574">
        <v>0.66629803334013304</v>
      </c>
      <c r="K574" t="s">
        <v>779</v>
      </c>
      <c r="L574" t="str">
        <f t="shared" si="24"/>
        <v>37</v>
      </c>
      <c r="M574">
        <f t="shared" si="25"/>
        <v>0</v>
      </c>
      <c r="N574">
        <f t="shared" si="26"/>
        <v>0</v>
      </c>
    </row>
    <row r="575" spans="1:14">
      <c r="A575">
        <v>7982</v>
      </c>
      <c r="B575" t="s">
        <v>1212</v>
      </c>
      <c r="C575" t="s">
        <v>755</v>
      </c>
      <c r="D575" t="s">
        <v>905</v>
      </c>
      <c r="E575">
        <v>902886</v>
      </c>
      <c r="G575" s="2">
        <v>0.80208333333333337</v>
      </c>
      <c r="H575" s="2">
        <v>0.89583333333333337</v>
      </c>
      <c r="J575">
        <v>2.24875586252295</v>
      </c>
      <c r="K575" t="s">
        <v>780</v>
      </c>
      <c r="L575" t="str">
        <f t="shared" si="24"/>
        <v>46</v>
      </c>
      <c r="M575">
        <f t="shared" si="25"/>
        <v>0</v>
      </c>
      <c r="N575">
        <f t="shared" si="26"/>
        <v>0</v>
      </c>
    </row>
    <row r="576" spans="1:14">
      <c r="A576">
        <v>8059</v>
      </c>
      <c r="B576" t="s">
        <v>906</v>
      </c>
      <c r="C576" t="s">
        <v>754</v>
      </c>
      <c r="D576" t="s">
        <v>775</v>
      </c>
      <c r="E576">
        <v>189522</v>
      </c>
      <c r="G576" s="2">
        <v>0.3125</v>
      </c>
      <c r="H576" s="2">
        <v>0.66666666666666663</v>
      </c>
      <c r="J576">
        <v>8</v>
      </c>
      <c r="K576" t="s">
        <v>886</v>
      </c>
      <c r="L576" t="str">
        <f t="shared" si="24"/>
        <v>65</v>
      </c>
      <c r="M576">
        <f t="shared" si="25"/>
        <v>0</v>
      </c>
      <c r="N576">
        <f t="shared" si="26"/>
        <v>0</v>
      </c>
    </row>
    <row r="577" spans="1:14">
      <c r="A577">
        <v>8020</v>
      </c>
      <c r="B577" t="s">
        <v>908</v>
      </c>
      <c r="C577" t="s">
        <v>754</v>
      </c>
      <c r="D577" t="s">
        <v>775</v>
      </c>
      <c r="E577">
        <v>547679</v>
      </c>
      <c r="G577" s="2">
        <v>0.3125</v>
      </c>
      <c r="H577" s="2">
        <v>0.64583333333333337</v>
      </c>
      <c r="J577">
        <v>7.5</v>
      </c>
      <c r="K577" t="s">
        <v>909</v>
      </c>
      <c r="L577" t="str">
        <f t="shared" si="24"/>
        <v>15</v>
      </c>
      <c r="M577">
        <f t="shared" si="25"/>
        <v>0</v>
      </c>
      <c r="N577">
        <f t="shared" si="26"/>
        <v>0</v>
      </c>
    </row>
    <row r="578" spans="1:14">
      <c r="A578">
        <v>7578</v>
      </c>
      <c r="B578" t="s">
        <v>1213</v>
      </c>
      <c r="C578" t="s">
        <v>755</v>
      </c>
      <c r="D578" t="s">
        <v>777</v>
      </c>
      <c r="E578">
        <v>141852</v>
      </c>
      <c r="G578" s="2">
        <v>0.12847222222222224</v>
      </c>
      <c r="H578" s="2">
        <v>0.12916666666666668</v>
      </c>
      <c r="J578">
        <v>1.58182941401506E-2</v>
      </c>
      <c r="K578" t="s">
        <v>767</v>
      </c>
      <c r="L578" t="str">
        <f t="shared" ref="L578:L641" si="27">RIGHT(LEFT(K578,4),2)</f>
        <v>37</v>
      </c>
      <c r="M578">
        <f t="shared" ref="M578:M641" si="28">IF(I578=0,0,I578-H578)+IF(F578=0,0,G578-F578)</f>
        <v>0</v>
      </c>
      <c r="N578">
        <f t="shared" ref="N578:N641" si="29">(M578-INT(M578))*24</f>
        <v>0</v>
      </c>
    </row>
    <row r="579" spans="1:14">
      <c r="A579">
        <v>7578</v>
      </c>
      <c r="B579" t="s">
        <v>1213</v>
      </c>
      <c r="C579" t="s">
        <v>755</v>
      </c>
      <c r="D579" t="s">
        <v>777</v>
      </c>
      <c r="E579">
        <v>141852</v>
      </c>
      <c r="G579" s="2">
        <v>0.12916666666666668</v>
      </c>
      <c r="H579" s="2">
        <v>0.21249999999999999</v>
      </c>
      <c r="J579">
        <v>1.89819529681807</v>
      </c>
      <c r="K579" t="s">
        <v>827</v>
      </c>
      <c r="L579" t="str">
        <f t="shared" si="27"/>
        <v>37</v>
      </c>
      <c r="M579">
        <f t="shared" si="28"/>
        <v>0</v>
      </c>
      <c r="N579">
        <f t="shared" si="29"/>
        <v>0</v>
      </c>
    </row>
    <row r="580" spans="1:14">
      <c r="A580">
        <v>7578</v>
      </c>
      <c r="B580" t="s">
        <v>1213</v>
      </c>
      <c r="C580" t="s">
        <v>755</v>
      </c>
      <c r="D580" t="s">
        <v>777</v>
      </c>
      <c r="E580">
        <v>141852</v>
      </c>
      <c r="G580" s="2">
        <v>0.21249999999999999</v>
      </c>
      <c r="H580" s="2">
        <v>0.37847222222222227</v>
      </c>
      <c r="J580">
        <v>3.7805722994959901</v>
      </c>
      <c r="K580" t="s">
        <v>767</v>
      </c>
      <c r="L580" t="str">
        <f t="shared" si="27"/>
        <v>37</v>
      </c>
      <c r="M580">
        <f t="shared" si="28"/>
        <v>0</v>
      </c>
      <c r="N580">
        <f t="shared" si="29"/>
        <v>0</v>
      </c>
    </row>
    <row r="581" spans="1:14">
      <c r="A581">
        <v>7578</v>
      </c>
      <c r="B581" t="s">
        <v>1213</v>
      </c>
      <c r="C581" t="s">
        <v>755</v>
      </c>
      <c r="D581" t="s">
        <v>777</v>
      </c>
      <c r="E581">
        <v>141852</v>
      </c>
      <c r="G581" s="2">
        <v>0.37847222222222227</v>
      </c>
      <c r="H581" s="2">
        <v>0.4236111111111111</v>
      </c>
      <c r="J581">
        <v>1.0281891191097801</v>
      </c>
      <c r="K581" t="s">
        <v>768</v>
      </c>
      <c r="L581" t="str">
        <f t="shared" si="27"/>
        <v>46</v>
      </c>
      <c r="M581">
        <f t="shared" si="28"/>
        <v>0</v>
      </c>
      <c r="N581">
        <f t="shared" si="29"/>
        <v>0</v>
      </c>
    </row>
    <row r="582" spans="1:14">
      <c r="A582">
        <v>7578</v>
      </c>
      <c r="B582" t="s">
        <v>1213</v>
      </c>
      <c r="C582" t="s">
        <v>755</v>
      </c>
      <c r="D582" t="s">
        <v>777</v>
      </c>
      <c r="E582">
        <v>141852</v>
      </c>
      <c r="G582" s="2">
        <v>0.4236111111111111</v>
      </c>
      <c r="H582" s="2">
        <v>0.43263888888888885</v>
      </c>
      <c r="J582">
        <v>0.205637823821958</v>
      </c>
      <c r="K582" t="s">
        <v>911</v>
      </c>
      <c r="L582" t="str">
        <f t="shared" si="27"/>
        <v>37</v>
      </c>
      <c r="M582">
        <f t="shared" si="28"/>
        <v>0</v>
      </c>
      <c r="N582">
        <f t="shared" si="29"/>
        <v>0</v>
      </c>
    </row>
    <row r="583" spans="1:14">
      <c r="A583">
        <v>7578</v>
      </c>
      <c r="B583" t="s">
        <v>1213</v>
      </c>
      <c r="C583" t="s">
        <v>755</v>
      </c>
      <c r="D583" t="s">
        <v>777</v>
      </c>
      <c r="E583">
        <v>141852</v>
      </c>
      <c r="G583" s="2">
        <v>0.43263888888888885</v>
      </c>
      <c r="H583" s="2">
        <v>0.54236111111111118</v>
      </c>
      <c r="J583">
        <v>2.4992904741437898</v>
      </c>
      <c r="K583" t="s">
        <v>778</v>
      </c>
      <c r="L583" t="str">
        <f t="shared" si="27"/>
        <v>37</v>
      </c>
      <c r="M583">
        <f t="shared" si="28"/>
        <v>0</v>
      </c>
      <c r="N583">
        <f t="shared" si="29"/>
        <v>0</v>
      </c>
    </row>
    <row r="584" spans="1:14">
      <c r="A584">
        <v>7978</v>
      </c>
      <c r="B584" t="s">
        <v>910</v>
      </c>
      <c r="C584" t="s">
        <v>755</v>
      </c>
      <c r="D584" t="s">
        <v>861</v>
      </c>
      <c r="E584">
        <v>902326</v>
      </c>
      <c r="G584" s="2">
        <v>0.10069444444444443</v>
      </c>
      <c r="H584" s="2">
        <v>0.2388888888888889</v>
      </c>
      <c r="J584">
        <v>3.0963142697836501</v>
      </c>
      <c r="K584" t="s">
        <v>1006</v>
      </c>
      <c r="L584" t="str">
        <f t="shared" si="27"/>
        <v>37</v>
      </c>
      <c r="M584">
        <f t="shared" si="28"/>
        <v>0</v>
      </c>
      <c r="N584">
        <f t="shared" si="29"/>
        <v>0</v>
      </c>
    </row>
    <row r="585" spans="1:14">
      <c r="A585">
        <v>7978</v>
      </c>
      <c r="B585" t="s">
        <v>910</v>
      </c>
      <c r="C585" t="s">
        <v>755</v>
      </c>
      <c r="D585" t="s">
        <v>861</v>
      </c>
      <c r="E585">
        <v>902326</v>
      </c>
      <c r="G585" s="2">
        <v>0.2388888888888889</v>
      </c>
      <c r="H585" s="2">
        <v>0.41666666666666669</v>
      </c>
      <c r="J585">
        <v>3.9831982566061099</v>
      </c>
      <c r="K585" t="s">
        <v>870</v>
      </c>
      <c r="L585" t="str">
        <f t="shared" si="27"/>
        <v>37</v>
      </c>
      <c r="M585">
        <f t="shared" si="28"/>
        <v>0</v>
      </c>
      <c r="N585">
        <f t="shared" si="29"/>
        <v>0</v>
      </c>
    </row>
    <row r="586" spans="1:14">
      <c r="A586">
        <v>7546</v>
      </c>
      <c r="B586" t="s">
        <v>1214</v>
      </c>
      <c r="C586" t="s">
        <v>754</v>
      </c>
      <c r="D586" t="s">
        <v>795</v>
      </c>
      <c r="E586">
        <v>112965</v>
      </c>
      <c r="G586" s="2">
        <v>0.85416666666666663</v>
      </c>
      <c r="H586" s="2">
        <v>0.89027777777777783</v>
      </c>
      <c r="J586">
        <v>0.86666666666666603</v>
      </c>
      <c r="K586" t="s">
        <v>827</v>
      </c>
      <c r="L586" t="str">
        <f t="shared" si="27"/>
        <v>37</v>
      </c>
      <c r="M586">
        <f t="shared" si="28"/>
        <v>0</v>
      </c>
      <c r="N586">
        <f t="shared" si="29"/>
        <v>0</v>
      </c>
    </row>
    <row r="587" spans="1:14">
      <c r="A587">
        <v>7546</v>
      </c>
      <c r="B587" t="s">
        <v>1214</v>
      </c>
      <c r="C587" t="s">
        <v>754</v>
      </c>
      <c r="D587" t="s">
        <v>795</v>
      </c>
      <c r="E587">
        <v>112965</v>
      </c>
      <c r="G587" s="2">
        <v>0.89027777777777783</v>
      </c>
      <c r="H587" s="2">
        <v>0.90694444444444444</v>
      </c>
      <c r="J587">
        <v>0.4</v>
      </c>
      <c r="K587" t="s">
        <v>796</v>
      </c>
      <c r="L587" t="str">
        <f t="shared" si="27"/>
        <v>37</v>
      </c>
      <c r="M587">
        <f t="shared" si="28"/>
        <v>0</v>
      </c>
      <c r="N587">
        <f t="shared" si="29"/>
        <v>0</v>
      </c>
    </row>
    <row r="588" spans="1:14">
      <c r="A588">
        <v>7546</v>
      </c>
      <c r="B588" t="s">
        <v>1214</v>
      </c>
      <c r="C588" t="s">
        <v>754</v>
      </c>
      <c r="D588" t="s">
        <v>795</v>
      </c>
      <c r="E588">
        <v>112965</v>
      </c>
      <c r="G588" s="2">
        <v>0.90694444444444444</v>
      </c>
      <c r="H588" s="2">
        <v>0.92083333333333339</v>
      </c>
      <c r="J588">
        <v>0.33333333333333298</v>
      </c>
      <c r="K588" t="s">
        <v>767</v>
      </c>
      <c r="L588" t="str">
        <f t="shared" si="27"/>
        <v>37</v>
      </c>
      <c r="M588">
        <f t="shared" si="28"/>
        <v>0</v>
      </c>
      <c r="N588">
        <f t="shared" si="29"/>
        <v>0</v>
      </c>
    </row>
    <row r="589" spans="1:14">
      <c r="A589">
        <v>7546</v>
      </c>
      <c r="B589" t="s">
        <v>1214</v>
      </c>
      <c r="C589" t="s">
        <v>754</v>
      </c>
      <c r="D589" t="s">
        <v>795</v>
      </c>
      <c r="E589">
        <v>112965</v>
      </c>
      <c r="G589" s="2">
        <v>0.92083333333333339</v>
      </c>
      <c r="H589" s="2">
        <v>0.92361111111111116</v>
      </c>
      <c r="J589">
        <v>6.6666666666666693E-2</v>
      </c>
      <c r="K589" t="s">
        <v>827</v>
      </c>
      <c r="L589" t="str">
        <f t="shared" si="27"/>
        <v>37</v>
      </c>
      <c r="M589">
        <f t="shared" si="28"/>
        <v>0</v>
      </c>
      <c r="N589">
        <f t="shared" si="29"/>
        <v>0</v>
      </c>
    </row>
    <row r="590" spans="1:14">
      <c r="A590">
        <v>7546</v>
      </c>
      <c r="B590" t="s">
        <v>1214</v>
      </c>
      <c r="C590" t="s">
        <v>754</v>
      </c>
      <c r="D590" t="s">
        <v>795</v>
      </c>
      <c r="E590">
        <v>112965</v>
      </c>
      <c r="G590" s="2">
        <v>0.92361111111111116</v>
      </c>
      <c r="H590" s="2">
        <v>7.0833333333333331E-2</v>
      </c>
      <c r="J590">
        <v>3.5333333333332999</v>
      </c>
      <c r="K590" t="s">
        <v>796</v>
      </c>
      <c r="L590" t="str">
        <f t="shared" si="27"/>
        <v>37</v>
      </c>
      <c r="M590">
        <f t="shared" si="28"/>
        <v>0</v>
      </c>
      <c r="N590">
        <f t="shared" si="29"/>
        <v>0</v>
      </c>
    </row>
    <row r="591" spans="1:14">
      <c r="A591">
        <v>7546</v>
      </c>
      <c r="B591" t="s">
        <v>1214</v>
      </c>
      <c r="C591" t="s">
        <v>754</v>
      </c>
      <c r="D591" t="s">
        <v>795</v>
      </c>
      <c r="E591">
        <v>112965</v>
      </c>
      <c r="G591" s="2">
        <v>7.0833333333333331E-2</v>
      </c>
      <c r="H591" s="2">
        <v>0.11180555555555556</v>
      </c>
      <c r="J591">
        <v>0.98333333333333295</v>
      </c>
      <c r="K591" t="s">
        <v>827</v>
      </c>
      <c r="L591" t="str">
        <f t="shared" si="27"/>
        <v>37</v>
      </c>
      <c r="M591">
        <f t="shared" si="28"/>
        <v>0</v>
      </c>
      <c r="N591">
        <f t="shared" si="29"/>
        <v>0</v>
      </c>
    </row>
    <row r="592" spans="1:14">
      <c r="A592">
        <v>7546</v>
      </c>
      <c r="B592" t="s">
        <v>1214</v>
      </c>
      <c r="C592" t="s">
        <v>754</v>
      </c>
      <c r="D592" t="s">
        <v>795</v>
      </c>
      <c r="E592">
        <v>112965</v>
      </c>
      <c r="G592" s="2">
        <v>0.11180555555555556</v>
      </c>
      <c r="H592" s="2">
        <v>0.14027777777777778</v>
      </c>
      <c r="J592">
        <v>0.68333333333333202</v>
      </c>
      <c r="K592" t="s">
        <v>796</v>
      </c>
      <c r="L592" t="str">
        <f t="shared" si="27"/>
        <v>37</v>
      </c>
      <c r="M592">
        <f t="shared" si="28"/>
        <v>0</v>
      </c>
      <c r="N592">
        <f t="shared" si="29"/>
        <v>0</v>
      </c>
    </row>
    <row r="593" spans="1:14">
      <c r="A593">
        <v>7546</v>
      </c>
      <c r="B593" t="s">
        <v>1214</v>
      </c>
      <c r="C593" t="s">
        <v>754</v>
      </c>
      <c r="D593" t="s">
        <v>795</v>
      </c>
      <c r="E593">
        <v>112965</v>
      </c>
      <c r="G593" s="2">
        <v>0.14027777777777778</v>
      </c>
      <c r="H593" s="2">
        <v>0.14444444444444446</v>
      </c>
      <c r="J593">
        <v>0.1</v>
      </c>
      <c r="K593" t="s">
        <v>767</v>
      </c>
      <c r="L593" t="str">
        <f t="shared" si="27"/>
        <v>37</v>
      </c>
      <c r="M593">
        <f t="shared" si="28"/>
        <v>0</v>
      </c>
      <c r="N593">
        <f t="shared" si="29"/>
        <v>0</v>
      </c>
    </row>
    <row r="594" spans="1:14">
      <c r="A594">
        <v>7546</v>
      </c>
      <c r="B594" t="s">
        <v>1214</v>
      </c>
      <c r="C594" t="s">
        <v>754</v>
      </c>
      <c r="D594" t="s">
        <v>795</v>
      </c>
      <c r="E594">
        <v>112965</v>
      </c>
      <c r="G594" s="2">
        <v>0.14444444444444446</v>
      </c>
      <c r="H594" s="2">
        <v>0.14652777777777778</v>
      </c>
      <c r="J594">
        <v>0.05</v>
      </c>
      <c r="K594" t="s">
        <v>796</v>
      </c>
      <c r="L594" t="str">
        <f t="shared" si="27"/>
        <v>37</v>
      </c>
      <c r="M594">
        <f t="shared" si="28"/>
        <v>0</v>
      </c>
      <c r="N594">
        <f t="shared" si="29"/>
        <v>0</v>
      </c>
    </row>
    <row r="595" spans="1:14">
      <c r="A595">
        <v>7546</v>
      </c>
      <c r="B595" t="s">
        <v>1214</v>
      </c>
      <c r="C595" t="s">
        <v>754</v>
      </c>
      <c r="D595" t="s">
        <v>795</v>
      </c>
      <c r="E595">
        <v>112965</v>
      </c>
      <c r="G595" s="2">
        <v>0.14652777777777778</v>
      </c>
      <c r="H595" s="2">
        <v>0.15069444444444444</v>
      </c>
      <c r="J595">
        <v>0.1</v>
      </c>
      <c r="K595" t="s">
        <v>767</v>
      </c>
      <c r="L595" t="str">
        <f t="shared" si="27"/>
        <v>37</v>
      </c>
      <c r="M595">
        <f t="shared" si="28"/>
        <v>0</v>
      </c>
      <c r="N595">
        <f t="shared" si="29"/>
        <v>0</v>
      </c>
    </row>
    <row r="596" spans="1:14">
      <c r="A596">
        <v>7546</v>
      </c>
      <c r="B596" t="s">
        <v>1214</v>
      </c>
      <c r="C596" t="s">
        <v>754</v>
      </c>
      <c r="D596" t="s">
        <v>795</v>
      </c>
      <c r="E596">
        <v>112965</v>
      </c>
      <c r="G596" s="2">
        <v>0.15069444444444444</v>
      </c>
      <c r="H596" s="2">
        <v>0.15625</v>
      </c>
      <c r="J596">
        <v>0.133333333333333</v>
      </c>
      <c r="K596" t="s">
        <v>796</v>
      </c>
      <c r="L596" t="str">
        <f t="shared" si="27"/>
        <v>37</v>
      </c>
      <c r="M596">
        <f t="shared" si="28"/>
        <v>0</v>
      </c>
      <c r="N596">
        <f t="shared" si="29"/>
        <v>0</v>
      </c>
    </row>
    <row r="597" spans="1:14">
      <c r="A597">
        <v>7546</v>
      </c>
      <c r="B597" t="s">
        <v>1214</v>
      </c>
      <c r="C597" t="s">
        <v>754</v>
      </c>
      <c r="D597" t="s">
        <v>795</v>
      </c>
      <c r="E597">
        <v>112965</v>
      </c>
      <c r="G597" s="2">
        <v>0.15625</v>
      </c>
      <c r="H597" s="2">
        <v>0.16388888888888889</v>
      </c>
      <c r="J597">
        <v>0.18333333333333299</v>
      </c>
      <c r="K597" t="s">
        <v>767</v>
      </c>
      <c r="L597" t="str">
        <f t="shared" si="27"/>
        <v>37</v>
      </c>
      <c r="M597">
        <f t="shared" si="28"/>
        <v>0</v>
      </c>
      <c r="N597">
        <f t="shared" si="29"/>
        <v>0</v>
      </c>
    </row>
    <row r="598" spans="1:14">
      <c r="A598">
        <v>7546</v>
      </c>
      <c r="B598" t="s">
        <v>1214</v>
      </c>
      <c r="C598" t="s">
        <v>754</v>
      </c>
      <c r="D598" t="s">
        <v>795</v>
      </c>
      <c r="E598">
        <v>112965</v>
      </c>
      <c r="G598" s="2">
        <v>0.16388888888888889</v>
      </c>
      <c r="H598" s="2">
        <v>0.18819444444444444</v>
      </c>
      <c r="J598">
        <v>0.58333333333333204</v>
      </c>
      <c r="K598" t="s">
        <v>951</v>
      </c>
      <c r="L598" t="str">
        <f t="shared" si="27"/>
        <v>37</v>
      </c>
      <c r="M598">
        <f t="shared" si="28"/>
        <v>0</v>
      </c>
      <c r="N598">
        <f t="shared" si="29"/>
        <v>0</v>
      </c>
    </row>
    <row r="599" spans="1:14">
      <c r="A599">
        <v>7546</v>
      </c>
      <c r="B599" t="s">
        <v>1214</v>
      </c>
      <c r="C599" t="s">
        <v>754</v>
      </c>
      <c r="D599" t="s">
        <v>795</v>
      </c>
      <c r="E599">
        <v>112965</v>
      </c>
      <c r="G599" s="2">
        <v>0.18819444444444444</v>
      </c>
      <c r="H599" s="2">
        <v>0.19166666666666665</v>
      </c>
      <c r="J599">
        <v>8.3333333333333301E-2</v>
      </c>
      <c r="K599" t="s">
        <v>798</v>
      </c>
      <c r="L599" t="str">
        <f t="shared" si="27"/>
        <v>33</v>
      </c>
      <c r="M599">
        <f t="shared" si="28"/>
        <v>0</v>
      </c>
      <c r="N599">
        <f t="shared" si="29"/>
        <v>0</v>
      </c>
    </row>
    <row r="600" spans="1:14">
      <c r="A600">
        <v>7546</v>
      </c>
      <c r="B600" t="s">
        <v>1214</v>
      </c>
      <c r="C600" t="s">
        <v>754</v>
      </c>
      <c r="D600" t="s">
        <v>795</v>
      </c>
      <c r="E600">
        <v>112965</v>
      </c>
      <c r="G600" s="2">
        <v>0.19166666666666665</v>
      </c>
      <c r="H600" s="2">
        <v>0.19722222222222222</v>
      </c>
      <c r="J600">
        <v>0.133333333333333</v>
      </c>
      <c r="K600" t="s">
        <v>806</v>
      </c>
      <c r="L600" t="str">
        <f t="shared" si="27"/>
        <v>33</v>
      </c>
      <c r="M600">
        <f t="shared" si="28"/>
        <v>0</v>
      </c>
      <c r="N600">
        <f t="shared" si="29"/>
        <v>0</v>
      </c>
    </row>
    <row r="601" spans="1:14">
      <c r="A601">
        <v>7546</v>
      </c>
      <c r="B601" t="s">
        <v>1214</v>
      </c>
      <c r="C601" t="s">
        <v>754</v>
      </c>
      <c r="D601" t="s">
        <v>795</v>
      </c>
      <c r="E601">
        <v>112965</v>
      </c>
      <c r="G601" s="2">
        <v>0.19722222222222222</v>
      </c>
      <c r="H601" s="2">
        <v>0.25</v>
      </c>
      <c r="J601">
        <v>1.2666666666666699</v>
      </c>
      <c r="K601" t="s">
        <v>798</v>
      </c>
      <c r="L601" t="str">
        <f t="shared" si="27"/>
        <v>33</v>
      </c>
      <c r="M601">
        <f t="shared" si="28"/>
        <v>0</v>
      </c>
      <c r="N601">
        <f t="shared" si="29"/>
        <v>0</v>
      </c>
    </row>
    <row r="602" spans="1:14">
      <c r="A602">
        <v>7104</v>
      </c>
      <c r="B602" t="s">
        <v>1107</v>
      </c>
      <c r="C602" t="s">
        <v>754</v>
      </c>
      <c r="D602" t="s">
        <v>823</v>
      </c>
      <c r="E602">
        <v>21983</v>
      </c>
      <c r="G602" s="2">
        <v>0.60069444444444442</v>
      </c>
      <c r="H602" s="2">
        <v>0.97916666666666663</v>
      </c>
      <c r="J602">
        <v>9.0783577058408191</v>
      </c>
      <c r="K602" t="s">
        <v>1132</v>
      </c>
      <c r="L602" t="str">
        <f t="shared" si="27"/>
        <v>33</v>
      </c>
      <c r="M602">
        <f t="shared" si="28"/>
        <v>0</v>
      </c>
      <c r="N602">
        <f t="shared" si="29"/>
        <v>0</v>
      </c>
    </row>
    <row r="603" spans="1:14">
      <c r="A603">
        <v>7874</v>
      </c>
      <c r="B603" t="s">
        <v>1215</v>
      </c>
      <c r="C603" t="s">
        <v>756</v>
      </c>
      <c r="E603">
        <v>531257</v>
      </c>
      <c r="G603" s="2">
        <v>0.54652777777777783</v>
      </c>
      <c r="H603" s="2">
        <v>0.70833333333333337</v>
      </c>
      <c r="J603">
        <v>3.8448333333333302</v>
      </c>
      <c r="K603" t="s">
        <v>759</v>
      </c>
      <c r="L603" t="str">
        <f t="shared" si="27"/>
        <v>33</v>
      </c>
      <c r="M603">
        <f t="shared" si="28"/>
        <v>0</v>
      </c>
      <c r="N603">
        <f t="shared" si="29"/>
        <v>0</v>
      </c>
    </row>
    <row r="604" spans="1:14">
      <c r="A604">
        <v>7953</v>
      </c>
      <c r="B604" t="s">
        <v>1216</v>
      </c>
      <c r="C604" t="s">
        <v>754</v>
      </c>
      <c r="D604" t="s">
        <v>893</v>
      </c>
      <c r="E604">
        <v>838517</v>
      </c>
      <c r="G604" s="2">
        <v>0.3979166666666667</v>
      </c>
      <c r="H604" s="2">
        <v>0.45624999999999999</v>
      </c>
      <c r="J604">
        <v>1.31641618328618</v>
      </c>
      <c r="K604" t="s">
        <v>778</v>
      </c>
      <c r="L604" t="str">
        <f t="shared" si="27"/>
        <v>37</v>
      </c>
      <c r="M604">
        <f t="shared" si="28"/>
        <v>0</v>
      </c>
      <c r="N604">
        <f t="shared" si="29"/>
        <v>0</v>
      </c>
    </row>
    <row r="605" spans="1:14">
      <c r="A605">
        <v>7953</v>
      </c>
      <c r="B605" t="s">
        <v>1216</v>
      </c>
      <c r="C605" t="s">
        <v>754</v>
      </c>
      <c r="D605" t="s">
        <v>893</v>
      </c>
      <c r="E605">
        <v>838517</v>
      </c>
      <c r="G605" s="2">
        <v>0.45624999999999999</v>
      </c>
      <c r="H605" s="2">
        <v>0.47638888888888892</v>
      </c>
      <c r="J605">
        <v>0.45447701565832699</v>
      </c>
      <c r="K605" t="s">
        <v>815</v>
      </c>
      <c r="L605" t="str">
        <f t="shared" si="27"/>
        <v>46</v>
      </c>
      <c r="M605">
        <f t="shared" si="28"/>
        <v>0</v>
      </c>
      <c r="N605">
        <f t="shared" si="29"/>
        <v>0</v>
      </c>
    </row>
    <row r="606" spans="1:14">
      <c r="A606">
        <v>7953</v>
      </c>
      <c r="B606" t="s">
        <v>1216</v>
      </c>
      <c r="C606" t="s">
        <v>754</v>
      </c>
      <c r="D606" t="s">
        <v>893</v>
      </c>
      <c r="E606">
        <v>838517</v>
      </c>
      <c r="G606" s="2">
        <v>0.47638888888888892</v>
      </c>
      <c r="H606" s="2">
        <v>0.52986111111111112</v>
      </c>
      <c r="J606">
        <v>1.206714834679</v>
      </c>
      <c r="K606" t="s">
        <v>877</v>
      </c>
      <c r="L606" t="str">
        <f t="shared" si="27"/>
        <v>46</v>
      </c>
      <c r="M606">
        <f t="shared" si="28"/>
        <v>0</v>
      </c>
      <c r="N606">
        <f t="shared" si="29"/>
        <v>0</v>
      </c>
    </row>
    <row r="607" spans="1:14">
      <c r="A607">
        <v>7953</v>
      </c>
      <c r="B607" t="s">
        <v>1216</v>
      </c>
      <c r="C607" t="s">
        <v>754</v>
      </c>
      <c r="D607" t="s">
        <v>893</v>
      </c>
      <c r="E607">
        <v>838517</v>
      </c>
      <c r="G607" s="2">
        <v>0.52986111111111112</v>
      </c>
      <c r="H607" s="2">
        <v>0.53541666666666665</v>
      </c>
      <c r="J607">
        <v>0.12537296983677901</v>
      </c>
      <c r="K607" t="s">
        <v>767</v>
      </c>
      <c r="L607" t="str">
        <f t="shared" si="27"/>
        <v>37</v>
      </c>
      <c r="M607">
        <f t="shared" si="28"/>
        <v>0</v>
      </c>
      <c r="N607">
        <f t="shared" si="29"/>
        <v>0</v>
      </c>
    </row>
    <row r="608" spans="1:14">
      <c r="A608">
        <v>7953</v>
      </c>
      <c r="B608" t="s">
        <v>1216</v>
      </c>
      <c r="C608" t="s">
        <v>754</v>
      </c>
      <c r="D608" t="s">
        <v>893</v>
      </c>
      <c r="E608">
        <v>838517</v>
      </c>
      <c r="G608" s="2">
        <v>0.53541666666666665</v>
      </c>
      <c r="H608" s="2">
        <v>0.73263888888888884</v>
      </c>
      <c r="J608">
        <v>4.4507404292056796</v>
      </c>
      <c r="K608" t="s">
        <v>790</v>
      </c>
      <c r="L608" t="str">
        <f t="shared" si="27"/>
        <v>46</v>
      </c>
      <c r="M608">
        <f t="shared" si="28"/>
        <v>0</v>
      </c>
      <c r="N608">
        <f t="shared" si="29"/>
        <v>0</v>
      </c>
    </row>
    <row r="609" spans="1:14">
      <c r="A609">
        <v>7953</v>
      </c>
      <c r="B609" t="s">
        <v>1216</v>
      </c>
      <c r="C609" t="s">
        <v>754</v>
      </c>
      <c r="D609" t="s">
        <v>893</v>
      </c>
      <c r="E609">
        <v>838517</v>
      </c>
      <c r="G609" s="2">
        <v>0.73263888888888884</v>
      </c>
      <c r="H609" s="2">
        <v>0.75</v>
      </c>
      <c r="J609">
        <v>0.39179053073993703</v>
      </c>
      <c r="K609" t="s">
        <v>817</v>
      </c>
      <c r="L609" t="str">
        <f t="shared" si="27"/>
        <v>46</v>
      </c>
      <c r="M609">
        <f t="shared" si="28"/>
        <v>0</v>
      </c>
      <c r="N609">
        <f t="shared" si="29"/>
        <v>0</v>
      </c>
    </row>
    <row r="610" spans="1:14">
      <c r="A610">
        <v>7487</v>
      </c>
      <c r="B610" t="s">
        <v>913</v>
      </c>
      <c r="C610" t="s">
        <v>754</v>
      </c>
      <c r="D610" t="s">
        <v>914</v>
      </c>
      <c r="E610">
        <v>59898</v>
      </c>
      <c r="G610" s="2">
        <v>0.37847222222222227</v>
      </c>
      <c r="H610" s="2">
        <v>0.53680555555555554</v>
      </c>
      <c r="J610">
        <v>3.5660366727656001</v>
      </c>
      <c r="K610" t="s">
        <v>759</v>
      </c>
      <c r="L610" t="str">
        <f t="shared" si="27"/>
        <v>33</v>
      </c>
      <c r="M610">
        <f t="shared" si="28"/>
        <v>0</v>
      </c>
      <c r="N610">
        <f t="shared" si="29"/>
        <v>0</v>
      </c>
    </row>
    <row r="611" spans="1:14">
      <c r="A611">
        <v>7487</v>
      </c>
      <c r="B611" t="s">
        <v>913</v>
      </c>
      <c r="C611" t="s">
        <v>754</v>
      </c>
      <c r="D611" t="s">
        <v>914</v>
      </c>
      <c r="E611">
        <v>59898</v>
      </c>
      <c r="G611" s="2">
        <v>0.53680555555555554</v>
      </c>
      <c r="H611" s="2">
        <v>0.70833333333333337</v>
      </c>
      <c r="J611">
        <v>3.8632063954960598</v>
      </c>
      <c r="K611" t="s">
        <v>819</v>
      </c>
      <c r="L611" t="str">
        <f t="shared" si="27"/>
        <v>33</v>
      </c>
      <c r="M611">
        <f t="shared" si="28"/>
        <v>0</v>
      </c>
      <c r="N611">
        <f t="shared" si="29"/>
        <v>0</v>
      </c>
    </row>
    <row r="612" spans="1:14">
      <c r="A612">
        <v>4037</v>
      </c>
      <c r="B612" t="s">
        <v>1217</v>
      </c>
      <c r="C612" t="s">
        <v>756</v>
      </c>
      <c r="E612">
        <v>906033</v>
      </c>
      <c r="G612" s="2">
        <v>0.46388888888888885</v>
      </c>
      <c r="H612" s="2">
        <v>0.52569444444444446</v>
      </c>
      <c r="J612">
        <v>1.3914323284807499</v>
      </c>
      <c r="K612" t="s">
        <v>759</v>
      </c>
      <c r="L612" t="str">
        <f t="shared" si="27"/>
        <v>33</v>
      </c>
      <c r="M612">
        <f t="shared" si="28"/>
        <v>0</v>
      </c>
      <c r="N612">
        <f t="shared" si="29"/>
        <v>0</v>
      </c>
    </row>
    <row r="613" spans="1:14">
      <c r="A613">
        <v>4037</v>
      </c>
      <c r="B613" t="s">
        <v>1217</v>
      </c>
      <c r="C613" t="s">
        <v>756</v>
      </c>
      <c r="E613">
        <v>906033</v>
      </c>
      <c r="G613" s="2">
        <v>0.52569444444444446</v>
      </c>
      <c r="H613" s="2">
        <v>0.52638888888888891</v>
      </c>
      <c r="J613">
        <v>1.5634071106525298E-2</v>
      </c>
      <c r="K613" t="s">
        <v>833</v>
      </c>
      <c r="L613" t="str">
        <f t="shared" si="27"/>
        <v>33</v>
      </c>
      <c r="M613">
        <f t="shared" si="28"/>
        <v>0</v>
      </c>
      <c r="N613">
        <f t="shared" si="29"/>
        <v>0</v>
      </c>
    </row>
    <row r="614" spans="1:14">
      <c r="A614">
        <v>4037</v>
      </c>
      <c r="B614" t="s">
        <v>1217</v>
      </c>
      <c r="C614" t="s">
        <v>756</v>
      </c>
      <c r="E614">
        <v>906033</v>
      </c>
      <c r="G614" s="2">
        <v>0.52638888888888891</v>
      </c>
      <c r="H614" s="2">
        <v>0.55277777777777781</v>
      </c>
      <c r="J614">
        <v>0.594094702047963</v>
      </c>
      <c r="K614" t="s">
        <v>763</v>
      </c>
      <c r="L614" t="str">
        <f t="shared" si="27"/>
        <v>33</v>
      </c>
      <c r="M614">
        <f t="shared" si="28"/>
        <v>0</v>
      </c>
      <c r="N614">
        <f t="shared" si="29"/>
        <v>0</v>
      </c>
    </row>
    <row r="615" spans="1:14">
      <c r="A615">
        <v>4037</v>
      </c>
      <c r="B615" t="s">
        <v>1217</v>
      </c>
      <c r="C615" t="s">
        <v>756</v>
      </c>
      <c r="E615">
        <v>906033</v>
      </c>
      <c r="G615" s="2">
        <v>0.55277777777777781</v>
      </c>
      <c r="H615" s="2">
        <v>0.60624999999999996</v>
      </c>
      <c r="J615">
        <v>1.2038234752024399</v>
      </c>
      <c r="K615" t="s">
        <v>799</v>
      </c>
      <c r="L615" t="str">
        <f t="shared" si="27"/>
        <v>33</v>
      </c>
      <c r="M615">
        <f t="shared" si="28"/>
        <v>0</v>
      </c>
      <c r="N615">
        <f t="shared" si="29"/>
        <v>0</v>
      </c>
    </row>
    <row r="616" spans="1:14">
      <c r="A616">
        <v>4037</v>
      </c>
      <c r="B616" t="s">
        <v>1217</v>
      </c>
      <c r="C616" t="s">
        <v>756</v>
      </c>
      <c r="E616">
        <v>906033</v>
      </c>
      <c r="G616" s="2">
        <v>0.60624999999999996</v>
      </c>
      <c r="H616" s="2">
        <v>0.65902777777777777</v>
      </c>
      <c r="J616">
        <v>1.18818940409592</v>
      </c>
      <c r="K616" t="s">
        <v>798</v>
      </c>
      <c r="L616" t="str">
        <f t="shared" si="27"/>
        <v>33</v>
      </c>
      <c r="M616">
        <f t="shared" si="28"/>
        <v>0</v>
      </c>
      <c r="N616">
        <f t="shared" si="29"/>
        <v>0</v>
      </c>
    </row>
    <row r="617" spans="1:14">
      <c r="A617">
        <v>4037</v>
      </c>
      <c r="B617" t="s">
        <v>1217</v>
      </c>
      <c r="C617" t="s">
        <v>756</v>
      </c>
      <c r="E617">
        <v>906033</v>
      </c>
      <c r="G617" s="2">
        <v>0.65902777777777777</v>
      </c>
      <c r="H617" s="2">
        <v>0.69861111111111107</v>
      </c>
      <c r="J617">
        <v>0.89114205307194505</v>
      </c>
      <c r="K617" t="s">
        <v>773</v>
      </c>
      <c r="L617" t="str">
        <f t="shared" si="27"/>
        <v>33</v>
      </c>
      <c r="M617">
        <f t="shared" si="28"/>
        <v>0</v>
      </c>
      <c r="N617">
        <f t="shared" si="29"/>
        <v>0</v>
      </c>
    </row>
    <row r="618" spans="1:14">
      <c r="A618">
        <v>4037</v>
      </c>
      <c r="B618" t="s">
        <v>1217</v>
      </c>
      <c r="C618" t="s">
        <v>756</v>
      </c>
      <c r="E618">
        <v>906033</v>
      </c>
      <c r="G618" s="2">
        <v>0.69861111111111107</v>
      </c>
      <c r="H618" s="2">
        <v>0.71597222222222223</v>
      </c>
      <c r="J618">
        <v>0.390851777663134</v>
      </c>
      <c r="K618" t="s">
        <v>763</v>
      </c>
      <c r="L618" t="str">
        <f t="shared" si="27"/>
        <v>33</v>
      </c>
      <c r="M618">
        <f t="shared" si="28"/>
        <v>0</v>
      </c>
      <c r="N618">
        <f t="shared" si="29"/>
        <v>0</v>
      </c>
    </row>
    <row r="619" spans="1:14">
      <c r="A619">
        <v>4037</v>
      </c>
      <c r="B619" t="s">
        <v>1217</v>
      </c>
      <c r="C619" t="s">
        <v>756</v>
      </c>
      <c r="E619">
        <v>906033</v>
      </c>
      <c r="G619" s="2">
        <v>0.71597222222222223</v>
      </c>
      <c r="H619" s="2">
        <v>0.74444444444444446</v>
      </c>
      <c r="J619">
        <v>0.640996915367539</v>
      </c>
      <c r="K619" t="s">
        <v>759</v>
      </c>
      <c r="L619" t="str">
        <f t="shared" si="27"/>
        <v>33</v>
      </c>
      <c r="M619">
        <f t="shared" si="28"/>
        <v>0</v>
      </c>
      <c r="N619">
        <f t="shared" si="29"/>
        <v>0</v>
      </c>
    </row>
    <row r="620" spans="1:14">
      <c r="A620">
        <v>4037</v>
      </c>
      <c r="B620" t="s">
        <v>1217</v>
      </c>
      <c r="C620" t="s">
        <v>756</v>
      </c>
      <c r="E620">
        <v>906033</v>
      </c>
      <c r="G620" s="2">
        <v>0.74444444444444446</v>
      </c>
      <c r="H620" s="2">
        <v>0.74583333333333324</v>
      </c>
      <c r="J620">
        <v>3.1268142213050597E-2</v>
      </c>
      <c r="K620" t="s">
        <v>798</v>
      </c>
      <c r="L620" t="str">
        <f t="shared" si="27"/>
        <v>33</v>
      </c>
      <c r="M620">
        <f t="shared" si="28"/>
        <v>0</v>
      </c>
      <c r="N620">
        <f t="shared" si="29"/>
        <v>0</v>
      </c>
    </row>
    <row r="621" spans="1:14">
      <c r="A621">
        <v>4037</v>
      </c>
      <c r="B621" t="s">
        <v>1217</v>
      </c>
      <c r="C621" t="s">
        <v>756</v>
      </c>
      <c r="E621">
        <v>906033</v>
      </c>
      <c r="G621" s="2">
        <v>0.74583333333333324</v>
      </c>
      <c r="H621" s="2">
        <v>0.79166666666666663</v>
      </c>
      <c r="J621">
        <v>1.0318486930306701</v>
      </c>
      <c r="K621" t="s">
        <v>833</v>
      </c>
      <c r="L621" t="str">
        <f t="shared" si="27"/>
        <v>33</v>
      </c>
      <c r="M621">
        <f t="shared" si="28"/>
        <v>0</v>
      </c>
      <c r="N621">
        <f t="shared" si="29"/>
        <v>0</v>
      </c>
    </row>
    <row r="622" spans="1:14">
      <c r="A622">
        <v>7475</v>
      </c>
      <c r="B622" t="s">
        <v>1108</v>
      </c>
      <c r="C622" t="s">
        <v>756</v>
      </c>
      <c r="E622">
        <v>82578</v>
      </c>
      <c r="G622" s="2">
        <v>0.22291666666666665</v>
      </c>
      <c r="H622" s="2">
        <v>0.53819444444444442</v>
      </c>
      <c r="J622">
        <v>7.0795125263897596</v>
      </c>
      <c r="K622" t="s">
        <v>778</v>
      </c>
      <c r="L622" t="str">
        <f t="shared" si="27"/>
        <v>37</v>
      </c>
      <c r="M622">
        <f t="shared" si="28"/>
        <v>0</v>
      </c>
      <c r="N622">
        <f t="shared" si="29"/>
        <v>0</v>
      </c>
    </row>
    <row r="623" spans="1:14">
      <c r="A623">
        <v>7036</v>
      </c>
      <c r="B623" t="s">
        <v>916</v>
      </c>
      <c r="C623" t="s">
        <v>754</v>
      </c>
      <c r="D623" t="s">
        <v>883</v>
      </c>
      <c r="E623">
        <v>244539</v>
      </c>
      <c r="G623" s="2">
        <v>0.37638888888888888</v>
      </c>
      <c r="H623" s="2">
        <v>0.50277777777777777</v>
      </c>
      <c r="J623">
        <v>3.0033333333333299</v>
      </c>
      <c r="K623" t="s">
        <v>917</v>
      </c>
      <c r="L623" t="str">
        <f t="shared" si="27"/>
        <v>37</v>
      </c>
      <c r="M623">
        <f t="shared" si="28"/>
        <v>0</v>
      </c>
      <c r="N623">
        <f t="shared" si="29"/>
        <v>0</v>
      </c>
    </row>
    <row r="624" spans="1:14">
      <c r="A624">
        <v>7643</v>
      </c>
      <c r="B624" t="s">
        <v>1109</v>
      </c>
      <c r="C624" t="s">
        <v>754</v>
      </c>
      <c r="D624" t="s">
        <v>1110</v>
      </c>
      <c r="E624">
        <v>175979</v>
      </c>
      <c r="G624" s="2">
        <v>0.39374999999999999</v>
      </c>
      <c r="H624" s="2">
        <v>0.4</v>
      </c>
      <c r="J624">
        <v>0.149214659685863</v>
      </c>
      <c r="K624" t="s">
        <v>778</v>
      </c>
      <c r="L624" t="str">
        <f t="shared" si="27"/>
        <v>37</v>
      </c>
      <c r="M624">
        <f t="shared" si="28"/>
        <v>0</v>
      </c>
      <c r="N624">
        <f t="shared" si="29"/>
        <v>0</v>
      </c>
    </row>
    <row r="625" spans="1:14">
      <c r="A625">
        <v>7643</v>
      </c>
      <c r="B625" t="s">
        <v>1109</v>
      </c>
      <c r="C625" t="s">
        <v>754</v>
      </c>
      <c r="D625" t="s">
        <v>1110</v>
      </c>
      <c r="E625">
        <v>175979</v>
      </c>
      <c r="G625" s="2">
        <v>0.4</v>
      </c>
      <c r="H625" s="2">
        <v>0.79166666666666663</v>
      </c>
      <c r="J625">
        <v>9.3507853403141308</v>
      </c>
      <c r="K625" t="s">
        <v>779</v>
      </c>
      <c r="L625" t="str">
        <f t="shared" si="27"/>
        <v>37</v>
      </c>
      <c r="M625">
        <f t="shared" si="28"/>
        <v>0</v>
      </c>
      <c r="N625">
        <f t="shared" si="29"/>
        <v>0</v>
      </c>
    </row>
    <row r="626" spans="1:14">
      <c r="A626">
        <v>7074</v>
      </c>
      <c r="B626" t="s">
        <v>919</v>
      </c>
      <c r="C626" t="s">
        <v>755</v>
      </c>
      <c r="D626" t="s">
        <v>777</v>
      </c>
      <c r="E626">
        <v>253786</v>
      </c>
      <c r="G626" s="2">
        <v>0.21597222222222223</v>
      </c>
      <c r="H626" s="2">
        <v>0.21875</v>
      </c>
      <c r="J626">
        <v>6.2756994918759801E-2</v>
      </c>
      <c r="K626" t="s">
        <v>767</v>
      </c>
      <c r="L626" t="str">
        <f t="shared" si="27"/>
        <v>37</v>
      </c>
      <c r="M626">
        <f t="shared" si="28"/>
        <v>0</v>
      </c>
      <c r="N626">
        <f t="shared" si="29"/>
        <v>0</v>
      </c>
    </row>
    <row r="627" spans="1:14">
      <c r="A627">
        <v>7074</v>
      </c>
      <c r="B627" t="s">
        <v>919</v>
      </c>
      <c r="C627" t="s">
        <v>755</v>
      </c>
      <c r="D627" t="s">
        <v>777</v>
      </c>
      <c r="E627">
        <v>253786</v>
      </c>
      <c r="G627" s="2">
        <v>0.21875</v>
      </c>
      <c r="H627" s="2">
        <v>0.22430555555555556</v>
      </c>
      <c r="J627">
        <v>0.12551398983751899</v>
      </c>
      <c r="K627" t="s">
        <v>827</v>
      </c>
      <c r="L627" t="str">
        <f t="shared" si="27"/>
        <v>37</v>
      </c>
      <c r="M627">
        <f t="shared" si="28"/>
        <v>0</v>
      </c>
      <c r="N627">
        <f t="shared" si="29"/>
        <v>0</v>
      </c>
    </row>
    <row r="628" spans="1:14">
      <c r="A628">
        <v>7074</v>
      </c>
      <c r="B628" t="s">
        <v>919</v>
      </c>
      <c r="C628" t="s">
        <v>755</v>
      </c>
      <c r="D628" t="s">
        <v>777</v>
      </c>
      <c r="E628">
        <v>253786</v>
      </c>
      <c r="G628" s="2">
        <v>0.22430555555555556</v>
      </c>
      <c r="H628" s="2">
        <v>0.22777777777777777</v>
      </c>
      <c r="J628">
        <v>7.8446243648449696E-2</v>
      </c>
      <c r="K628" t="s">
        <v>767</v>
      </c>
      <c r="L628" t="str">
        <f t="shared" si="27"/>
        <v>37</v>
      </c>
      <c r="M628">
        <f t="shared" si="28"/>
        <v>0</v>
      </c>
      <c r="N628">
        <f t="shared" si="29"/>
        <v>0</v>
      </c>
    </row>
    <row r="629" spans="1:14">
      <c r="A629">
        <v>7074</v>
      </c>
      <c r="B629" t="s">
        <v>919</v>
      </c>
      <c r="C629" t="s">
        <v>755</v>
      </c>
      <c r="D629" t="s">
        <v>777</v>
      </c>
      <c r="E629">
        <v>253786</v>
      </c>
      <c r="G629" s="2">
        <v>0.22777777777777777</v>
      </c>
      <c r="H629" s="2">
        <v>0.23055555555555554</v>
      </c>
      <c r="J629">
        <v>6.2756994918759801E-2</v>
      </c>
      <c r="K629" t="s">
        <v>827</v>
      </c>
      <c r="L629" t="str">
        <f t="shared" si="27"/>
        <v>37</v>
      </c>
      <c r="M629">
        <f t="shared" si="28"/>
        <v>0</v>
      </c>
      <c r="N629">
        <f t="shared" si="29"/>
        <v>0</v>
      </c>
    </row>
    <row r="630" spans="1:14">
      <c r="A630">
        <v>7074</v>
      </c>
      <c r="B630" t="s">
        <v>919</v>
      </c>
      <c r="C630" t="s">
        <v>755</v>
      </c>
      <c r="D630" t="s">
        <v>777</v>
      </c>
      <c r="E630">
        <v>253786</v>
      </c>
      <c r="G630" s="2">
        <v>0.23055555555555554</v>
      </c>
      <c r="H630" s="2">
        <v>0.23611111111111113</v>
      </c>
      <c r="J630">
        <v>0.12551398983751899</v>
      </c>
      <c r="K630" t="s">
        <v>767</v>
      </c>
      <c r="L630" t="str">
        <f t="shared" si="27"/>
        <v>37</v>
      </c>
      <c r="M630">
        <f t="shared" si="28"/>
        <v>0</v>
      </c>
      <c r="N630">
        <f t="shared" si="29"/>
        <v>0</v>
      </c>
    </row>
    <row r="631" spans="1:14">
      <c r="A631">
        <v>7074</v>
      </c>
      <c r="B631" t="s">
        <v>919</v>
      </c>
      <c r="C631" t="s">
        <v>755</v>
      </c>
      <c r="D631" t="s">
        <v>777</v>
      </c>
      <c r="E631">
        <v>253786</v>
      </c>
      <c r="G631" s="2">
        <v>0.23611111111111113</v>
      </c>
      <c r="H631" s="2">
        <v>0.24583333333333335</v>
      </c>
      <c r="J631">
        <v>0.219649482215659</v>
      </c>
      <c r="K631" t="s">
        <v>827</v>
      </c>
      <c r="L631" t="str">
        <f t="shared" si="27"/>
        <v>37</v>
      </c>
      <c r="M631">
        <f t="shared" si="28"/>
        <v>0</v>
      </c>
      <c r="N631">
        <f t="shared" si="29"/>
        <v>0</v>
      </c>
    </row>
    <row r="632" spans="1:14">
      <c r="A632">
        <v>7074</v>
      </c>
      <c r="B632" t="s">
        <v>919</v>
      </c>
      <c r="C632" t="s">
        <v>755</v>
      </c>
      <c r="D632" t="s">
        <v>777</v>
      </c>
      <c r="E632">
        <v>253786</v>
      </c>
      <c r="G632" s="2">
        <v>0.24583333333333335</v>
      </c>
      <c r="H632" s="2">
        <v>0.3444444444444445</v>
      </c>
      <c r="J632">
        <v>2.2278733196159699</v>
      </c>
      <c r="K632" t="s">
        <v>767</v>
      </c>
      <c r="L632" t="str">
        <f t="shared" si="27"/>
        <v>37</v>
      </c>
      <c r="M632">
        <f t="shared" si="28"/>
        <v>0</v>
      </c>
      <c r="N632">
        <f t="shared" si="29"/>
        <v>0</v>
      </c>
    </row>
    <row r="633" spans="1:14">
      <c r="A633">
        <v>7074</v>
      </c>
      <c r="B633" t="s">
        <v>919</v>
      </c>
      <c r="C633" t="s">
        <v>755</v>
      </c>
      <c r="D633" t="s">
        <v>777</v>
      </c>
      <c r="E633">
        <v>253786</v>
      </c>
      <c r="G633" s="2">
        <v>0.3444444444444445</v>
      </c>
      <c r="H633" s="2">
        <v>0.42708333333333331</v>
      </c>
      <c r="J633">
        <v>1.8670205988330999</v>
      </c>
      <c r="K633" t="s">
        <v>827</v>
      </c>
      <c r="L633" t="str">
        <f t="shared" si="27"/>
        <v>37</v>
      </c>
      <c r="M633">
        <f t="shared" si="28"/>
        <v>0</v>
      </c>
      <c r="N633">
        <f t="shared" si="29"/>
        <v>0</v>
      </c>
    </row>
    <row r="634" spans="1:14">
      <c r="A634">
        <v>7074</v>
      </c>
      <c r="B634" t="s">
        <v>919</v>
      </c>
      <c r="C634" t="s">
        <v>755</v>
      </c>
      <c r="D634" t="s">
        <v>777</v>
      </c>
      <c r="E634">
        <v>253786</v>
      </c>
      <c r="G634" s="2">
        <v>0.42708333333333331</v>
      </c>
      <c r="H634" s="2">
        <v>0.5625</v>
      </c>
      <c r="J634">
        <v>3.0594035022895398</v>
      </c>
      <c r="K634" t="s">
        <v>767</v>
      </c>
      <c r="L634" t="str">
        <f t="shared" si="27"/>
        <v>37</v>
      </c>
      <c r="M634">
        <f t="shared" si="28"/>
        <v>0</v>
      </c>
      <c r="N634">
        <f t="shared" si="29"/>
        <v>0</v>
      </c>
    </row>
    <row r="635" spans="1:14">
      <c r="A635">
        <v>7886</v>
      </c>
      <c r="B635" t="s">
        <v>1218</v>
      </c>
      <c r="C635" t="s">
        <v>756</v>
      </c>
      <c r="E635">
        <v>531205</v>
      </c>
      <c r="G635" s="2">
        <v>0.46666666666666662</v>
      </c>
      <c r="H635" s="2">
        <v>0.48402777777777778</v>
      </c>
      <c r="J635">
        <v>0.38974425136986102</v>
      </c>
      <c r="K635" t="s">
        <v>817</v>
      </c>
      <c r="L635" t="str">
        <f t="shared" si="27"/>
        <v>46</v>
      </c>
      <c r="M635">
        <f t="shared" si="28"/>
        <v>0</v>
      </c>
      <c r="N635">
        <f t="shared" si="29"/>
        <v>0</v>
      </c>
    </row>
    <row r="636" spans="1:14">
      <c r="A636">
        <v>7886</v>
      </c>
      <c r="B636" t="s">
        <v>1218</v>
      </c>
      <c r="C636" t="s">
        <v>756</v>
      </c>
      <c r="E636">
        <v>531205</v>
      </c>
      <c r="G636" s="2">
        <v>0.48402777777777778</v>
      </c>
      <c r="H636" s="2">
        <v>0.48819444444444443</v>
      </c>
      <c r="J636">
        <v>9.35386203287666E-2</v>
      </c>
      <c r="K636" t="s">
        <v>877</v>
      </c>
      <c r="L636" t="str">
        <f t="shared" si="27"/>
        <v>46</v>
      </c>
      <c r="M636">
        <f t="shared" si="28"/>
        <v>0</v>
      </c>
      <c r="N636">
        <f t="shared" si="29"/>
        <v>0</v>
      </c>
    </row>
    <row r="637" spans="1:14">
      <c r="A637">
        <v>7886</v>
      </c>
      <c r="B637" t="s">
        <v>1218</v>
      </c>
      <c r="C637" t="s">
        <v>756</v>
      </c>
      <c r="E637">
        <v>531205</v>
      </c>
      <c r="G637" s="2">
        <v>0.48819444444444443</v>
      </c>
      <c r="H637" s="2">
        <v>0.54166666666666663</v>
      </c>
      <c r="J637">
        <v>1.20041229421916</v>
      </c>
      <c r="K637" t="s">
        <v>817</v>
      </c>
      <c r="L637" t="str">
        <f t="shared" si="27"/>
        <v>46</v>
      </c>
      <c r="M637">
        <f t="shared" si="28"/>
        <v>0</v>
      </c>
      <c r="N637">
        <f t="shared" si="29"/>
        <v>0</v>
      </c>
    </row>
    <row r="638" spans="1:14">
      <c r="A638">
        <v>7886</v>
      </c>
      <c r="B638" t="s">
        <v>1218</v>
      </c>
      <c r="C638" t="s">
        <v>756</v>
      </c>
      <c r="E638">
        <v>531205</v>
      </c>
      <c r="G638" s="2">
        <v>0.54166666666666663</v>
      </c>
      <c r="H638" s="2">
        <v>0.54652777777777783</v>
      </c>
      <c r="J638">
        <v>0.10912839038356099</v>
      </c>
      <c r="K638" t="s">
        <v>877</v>
      </c>
      <c r="L638" t="str">
        <f t="shared" si="27"/>
        <v>46</v>
      </c>
      <c r="M638">
        <f t="shared" si="28"/>
        <v>0</v>
      </c>
      <c r="N638">
        <f t="shared" si="29"/>
        <v>0</v>
      </c>
    </row>
    <row r="639" spans="1:14">
      <c r="A639">
        <v>7886</v>
      </c>
      <c r="B639" t="s">
        <v>1218</v>
      </c>
      <c r="C639" t="s">
        <v>756</v>
      </c>
      <c r="E639">
        <v>531205</v>
      </c>
      <c r="G639" s="2">
        <v>0.54652777777777783</v>
      </c>
      <c r="H639" s="2">
        <v>0.58888888888888891</v>
      </c>
      <c r="J639">
        <v>0.95097597334246398</v>
      </c>
      <c r="K639" t="s">
        <v>817</v>
      </c>
      <c r="L639" t="str">
        <f t="shared" si="27"/>
        <v>46</v>
      </c>
      <c r="M639">
        <f t="shared" si="28"/>
        <v>0</v>
      </c>
      <c r="N639">
        <f t="shared" si="29"/>
        <v>0</v>
      </c>
    </row>
    <row r="640" spans="1:14">
      <c r="A640">
        <v>7886</v>
      </c>
      <c r="B640" t="s">
        <v>1218</v>
      </c>
      <c r="C640" t="s">
        <v>756</v>
      </c>
      <c r="E640">
        <v>531205</v>
      </c>
      <c r="G640" s="2">
        <v>0.58888888888888891</v>
      </c>
      <c r="H640" s="2">
        <v>0.70625000000000004</v>
      </c>
      <c r="J640">
        <v>2.6346711392602602</v>
      </c>
      <c r="K640" t="s">
        <v>815</v>
      </c>
      <c r="L640" t="str">
        <f t="shared" si="27"/>
        <v>46</v>
      </c>
      <c r="M640">
        <f t="shared" si="28"/>
        <v>0</v>
      </c>
      <c r="N640">
        <f t="shared" si="29"/>
        <v>0</v>
      </c>
    </row>
    <row r="641" spans="1:14">
      <c r="A641">
        <v>7886</v>
      </c>
      <c r="B641" t="s">
        <v>1218</v>
      </c>
      <c r="C641" t="s">
        <v>756</v>
      </c>
      <c r="E641">
        <v>531205</v>
      </c>
      <c r="G641" s="2">
        <v>0.70625000000000004</v>
      </c>
      <c r="H641" s="2">
        <v>0.70625000000000004</v>
      </c>
      <c r="J641">
        <v>0</v>
      </c>
      <c r="K641" t="s">
        <v>817</v>
      </c>
      <c r="L641" t="str">
        <f t="shared" si="27"/>
        <v>46</v>
      </c>
      <c r="M641">
        <f t="shared" si="28"/>
        <v>0</v>
      </c>
      <c r="N641">
        <f t="shared" si="29"/>
        <v>0</v>
      </c>
    </row>
    <row r="642" spans="1:14">
      <c r="A642">
        <v>7886</v>
      </c>
      <c r="B642" t="s">
        <v>1218</v>
      </c>
      <c r="C642" t="s">
        <v>756</v>
      </c>
      <c r="E642">
        <v>531205</v>
      </c>
      <c r="G642" s="2">
        <v>0.70625000000000004</v>
      </c>
      <c r="H642" s="2">
        <v>0.70833333333333337</v>
      </c>
      <c r="J642">
        <v>4.67693101643833E-2</v>
      </c>
      <c r="K642" t="s">
        <v>815</v>
      </c>
      <c r="L642" t="str">
        <f t="shared" ref="L642:L705" si="30">RIGHT(LEFT(K642,4),2)</f>
        <v>46</v>
      </c>
      <c r="M642">
        <f t="shared" ref="M642:M705" si="31">IF(I642=0,0,I642-H642)+IF(F642=0,0,G642-F642)</f>
        <v>0</v>
      </c>
      <c r="N642">
        <f t="shared" ref="N642:N705" si="32">(M642-INT(M642))*24</f>
        <v>0</v>
      </c>
    </row>
    <row r="643" spans="1:14">
      <c r="A643">
        <v>7886</v>
      </c>
      <c r="B643" t="s">
        <v>1218</v>
      </c>
      <c r="C643" t="s">
        <v>756</v>
      </c>
      <c r="E643">
        <v>531205</v>
      </c>
      <c r="G643" s="2">
        <v>0.70833333333333337</v>
      </c>
      <c r="H643" s="2">
        <v>0.70972222222222225</v>
      </c>
      <c r="J643">
        <v>3.1179540109588798E-2</v>
      </c>
      <c r="K643" t="s">
        <v>817</v>
      </c>
      <c r="L643" t="str">
        <f t="shared" si="30"/>
        <v>46</v>
      </c>
      <c r="M643">
        <f t="shared" si="31"/>
        <v>0</v>
      </c>
      <c r="N643">
        <f t="shared" si="32"/>
        <v>0</v>
      </c>
    </row>
    <row r="644" spans="1:14">
      <c r="A644">
        <v>7886</v>
      </c>
      <c r="B644" t="s">
        <v>1218</v>
      </c>
      <c r="C644" t="s">
        <v>756</v>
      </c>
      <c r="E644">
        <v>531205</v>
      </c>
      <c r="G644" s="2">
        <v>0.70972222222222225</v>
      </c>
      <c r="H644" s="2">
        <v>0.75555555555555554</v>
      </c>
      <c r="J644">
        <v>1.0289248236164299</v>
      </c>
      <c r="K644" t="s">
        <v>815</v>
      </c>
      <c r="L644" t="str">
        <f t="shared" si="30"/>
        <v>46</v>
      </c>
      <c r="M644">
        <f t="shared" si="31"/>
        <v>0</v>
      </c>
      <c r="N644">
        <f t="shared" si="32"/>
        <v>0</v>
      </c>
    </row>
    <row r="645" spans="1:14">
      <c r="A645">
        <v>7886</v>
      </c>
      <c r="B645" t="s">
        <v>1218</v>
      </c>
      <c r="C645" t="s">
        <v>756</v>
      </c>
      <c r="E645">
        <v>531205</v>
      </c>
      <c r="G645" s="2">
        <v>0.75555555555555554</v>
      </c>
      <c r="H645" s="2">
        <v>0.79166666666666663</v>
      </c>
      <c r="J645">
        <v>0.81066804284931004</v>
      </c>
      <c r="K645" t="s">
        <v>778</v>
      </c>
      <c r="L645" t="str">
        <f t="shared" si="30"/>
        <v>37</v>
      </c>
      <c r="M645">
        <f t="shared" si="31"/>
        <v>0</v>
      </c>
      <c r="N645">
        <f t="shared" si="32"/>
        <v>0</v>
      </c>
    </row>
    <row r="646" spans="1:14">
      <c r="A646">
        <v>7457</v>
      </c>
      <c r="B646" t="s">
        <v>1111</v>
      </c>
      <c r="C646" t="s">
        <v>755</v>
      </c>
      <c r="D646" t="s">
        <v>945</v>
      </c>
      <c r="E646">
        <v>301256</v>
      </c>
      <c r="G646" s="2">
        <v>0.28749999999999998</v>
      </c>
      <c r="H646" s="2">
        <v>0.625</v>
      </c>
      <c r="J646">
        <v>7.59578142153401</v>
      </c>
      <c r="K646" t="s">
        <v>889</v>
      </c>
      <c r="L646" t="str">
        <f t="shared" si="30"/>
        <v>33</v>
      </c>
      <c r="M646">
        <f t="shared" si="31"/>
        <v>0</v>
      </c>
      <c r="N646">
        <f t="shared" si="32"/>
        <v>0</v>
      </c>
    </row>
    <row r="647" spans="1:14">
      <c r="A647">
        <v>4115</v>
      </c>
      <c r="B647" t="s">
        <v>1219</v>
      </c>
      <c r="C647" t="s">
        <v>756</v>
      </c>
      <c r="E647">
        <v>917771</v>
      </c>
      <c r="G647" s="2">
        <v>0.22222222222222221</v>
      </c>
      <c r="H647" s="2">
        <v>0.25624999999999998</v>
      </c>
      <c r="J647">
        <v>0.76638507441015102</v>
      </c>
      <c r="K647" t="s">
        <v>759</v>
      </c>
      <c r="L647" t="str">
        <f t="shared" si="30"/>
        <v>33</v>
      </c>
      <c r="M647">
        <f t="shared" si="31"/>
        <v>0</v>
      </c>
      <c r="N647">
        <f t="shared" si="32"/>
        <v>0</v>
      </c>
    </row>
    <row r="648" spans="1:14">
      <c r="A648">
        <v>4115</v>
      </c>
      <c r="B648" t="s">
        <v>1219</v>
      </c>
      <c r="C648" t="s">
        <v>756</v>
      </c>
      <c r="E648">
        <v>917771</v>
      </c>
      <c r="G648" s="2">
        <v>0.25624999999999998</v>
      </c>
      <c r="H648" s="2">
        <v>0.3527777777777778</v>
      </c>
      <c r="J648">
        <v>2.1740311294492001</v>
      </c>
      <c r="K648" t="s">
        <v>1070</v>
      </c>
      <c r="L648" t="str">
        <f t="shared" si="30"/>
        <v>33</v>
      </c>
      <c r="M648">
        <f t="shared" si="31"/>
        <v>0</v>
      </c>
      <c r="N648">
        <f t="shared" si="32"/>
        <v>0</v>
      </c>
    </row>
    <row r="649" spans="1:14">
      <c r="A649">
        <v>4115</v>
      </c>
      <c r="B649" t="s">
        <v>1219</v>
      </c>
      <c r="C649" t="s">
        <v>756</v>
      </c>
      <c r="E649">
        <v>917771</v>
      </c>
      <c r="G649" s="2">
        <v>0.35347222222222219</v>
      </c>
      <c r="H649" s="2">
        <v>0.44305555555555554</v>
      </c>
      <c r="J649">
        <v>2.0176260122226402</v>
      </c>
      <c r="K649" t="s">
        <v>1070</v>
      </c>
      <c r="L649" t="str">
        <f t="shared" si="30"/>
        <v>33</v>
      </c>
      <c r="M649">
        <f t="shared" si="31"/>
        <v>0</v>
      </c>
      <c r="N649">
        <f t="shared" si="32"/>
        <v>0</v>
      </c>
    </row>
    <row r="650" spans="1:14">
      <c r="A650">
        <v>4115</v>
      </c>
      <c r="B650" t="s">
        <v>1219</v>
      </c>
      <c r="C650" t="s">
        <v>756</v>
      </c>
      <c r="E650">
        <v>917771</v>
      </c>
      <c r="G650" s="2">
        <v>0.44305555555555554</v>
      </c>
      <c r="H650" s="2">
        <v>0.55208333333333337</v>
      </c>
      <c r="J650">
        <v>2.4555603404570099</v>
      </c>
      <c r="K650" t="s">
        <v>759</v>
      </c>
      <c r="L650" t="str">
        <f t="shared" si="30"/>
        <v>33</v>
      </c>
      <c r="M650">
        <f t="shared" si="31"/>
        <v>0</v>
      </c>
      <c r="N650">
        <f t="shared" si="32"/>
        <v>0</v>
      </c>
    </row>
    <row r="651" spans="1:14">
      <c r="A651">
        <v>7290</v>
      </c>
      <c r="B651" t="s">
        <v>921</v>
      </c>
      <c r="C651" t="s">
        <v>754</v>
      </c>
      <c r="D651" t="s">
        <v>818</v>
      </c>
      <c r="E651">
        <v>270736</v>
      </c>
      <c r="G651" s="2">
        <v>0.12708333333333333</v>
      </c>
      <c r="H651" s="2">
        <v>0.12847222222222224</v>
      </c>
      <c r="J651">
        <v>3.1219693516095999E-2</v>
      </c>
      <c r="K651" t="s">
        <v>798</v>
      </c>
      <c r="L651" t="str">
        <f t="shared" si="30"/>
        <v>33</v>
      </c>
      <c r="M651">
        <f t="shared" si="31"/>
        <v>0</v>
      </c>
      <c r="N651">
        <f t="shared" si="32"/>
        <v>0</v>
      </c>
    </row>
    <row r="652" spans="1:14">
      <c r="A652">
        <v>7290</v>
      </c>
      <c r="B652" t="s">
        <v>921</v>
      </c>
      <c r="C652" t="s">
        <v>754</v>
      </c>
      <c r="D652" t="s">
        <v>818</v>
      </c>
      <c r="E652">
        <v>270736</v>
      </c>
      <c r="G652" s="2">
        <v>0.12847222222222224</v>
      </c>
      <c r="H652" s="2">
        <v>0.20902777777777778</v>
      </c>
      <c r="J652">
        <v>1.81074222393356</v>
      </c>
      <c r="K652" t="s">
        <v>799</v>
      </c>
      <c r="L652" t="str">
        <f t="shared" si="30"/>
        <v>33</v>
      </c>
      <c r="M652">
        <f t="shared" si="31"/>
        <v>0</v>
      </c>
      <c r="N652">
        <f t="shared" si="32"/>
        <v>0</v>
      </c>
    </row>
    <row r="653" spans="1:14">
      <c r="A653">
        <v>7290</v>
      </c>
      <c r="B653" t="s">
        <v>921</v>
      </c>
      <c r="C653" t="s">
        <v>754</v>
      </c>
      <c r="D653" t="s">
        <v>818</v>
      </c>
      <c r="E653">
        <v>270736</v>
      </c>
      <c r="G653" s="2">
        <v>0.20902777777777778</v>
      </c>
      <c r="H653" s="2">
        <v>0.22430555555555556</v>
      </c>
      <c r="J653">
        <v>0.34341662867705602</v>
      </c>
      <c r="K653" t="s">
        <v>785</v>
      </c>
      <c r="L653" t="str">
        <f t="shared" si="30"/>
        <v>33</v>
      </c>
      <c r="M653">
        <f t="shared" si="31"/>
        <v>0</v>
      </c>
      <c r="N653">
        <f t="shared" si="32"/>
        <v>0</v>
      </c>
    </row>
    <row r="654" spans="1:14">
      <c r="A654">
        <v>7290</v>
      </c>
      <c r="B654" t="s">
        <v>921</v>
      </c>
      <c r="C654" t="s">
        <v>754</v>
      </c>
      <c r="D654" t="s">
        <v>818</v>
      </c>
      <c r="E654">
        <v>270736</v>
      </c>
      <c r="G654" s="2">
        <v>0.22430555555555556</v>
      </c>
      <c r="H654" s="2">
        <v>0.28888888888888892</v>
      </c>
      <c r="J654">
        <v>1.45171574849846</v>
      </c>
      <c r="K654" t="s">
        <v>763</v>
      </c>
      <c r="L654" t="str">
        <f t="shared" si="30"/>
        <v>33</v>
      </c>
      <c r="M654">
        <f t="shared" si="31"/>
        <v>0</v>
      </c>
      <c r="N654">
        <f t="shared" si="32"/>
        <v>0</v>
      </c>
    </row>
    <row r="655" spans="1:14">
      <c r="A655">
        <v>7290</v>
      </c>
      <c r="B655" t="s">
        <v>921</v>
      </c>
      <c r="C655" t="s">
        <v>754</v>
      </c>
      <c r="D655" t="s">
        <v>818</v>
      </c>
      <c r="E655">
        <v>270736</v>
      </c>
      <c r="G655" s="2">
        <v>0.28888888888888892</v>
      </c>
      <c r="H655" s="2">
        <v>0.3840277777777778</v>
      </c>
      <c r="J655">
        <v>2.1385490058525698</v>
      </c>
      <c r="K655" t="s">
        <v>785</v>
      </c>
      <c r="L655" t="str">
        <f t="shared" si="30"/>
        <v>33</v>
      </c>
      <c r="M655">
        <f t="shared" si="31"/>
        <v>0</v>
      </c>
      <c r="N655">
        <f t="shared" si="32"/>
        <v>0</v>
      </c>
    </row>
    <row r="656" spans="1:14">
      <c r="A656">
        <v>7290</v>
      </c>
      <c r="B656" t="s">
        <v>921</v>
      </c>
      <c r="C656" t="s">
        <v>754</v>
      </c>
      <c r="D656" t="s">
        <v>818</v>
      </c>
      <c r="E656">
        <v>270736</v>
      </c>
      <c r="G656" s="2">
        <v>0.3840277777777778</v>
      </c>
      <c r="H656" s="2">
        <v>0.38680555555555557</v>
      </c>
      <c r="J656">
        <v>6.2439387032192102E-2</v>
      </c>
      <c r="K656" t="s">
        <v>798</v>
      </c>
      <c r="L656" t="str">
        <f t="shared" si="30"/>
        <v>33</v>
      </c>
      <c r="M656">
        <f t="shared" si="31"/>
        <v>0</v>
      </c>
      <c r="N656">
        <f t="shared" si="32"/>
        <v>0</v>
      </c>
    </row>
    <row r="657" spans="1:14">
      <c r="A657">
        <v>7290</v>
      </c>
      <c r="B657" t="s">
        <v>921</v>
      </c>
      <c r="C657" t="s">
        <v>754</v>
      </c>
      <c r="D657" t="s">
        <v>818</v>
      </c>
      <c r="E657">
        <v>270736</v>
      </c>
      <c r="G657" s="2">
        <v>0.38680555555555557</v>
      </c>
      <c r="H657" s="2">
        <v>0.45833333333333331</v>
      </c>
      <c r="J657">
        <v>1.6078142160789499</v>
      </c>
      <c r="K657" t="s">
        <v>799</v>
      </c>
      <c r="L657" t="str">
        <f t="shared" si="30"/>
        <v>33</v>
      </c>
      <c r="M657">
        <f t="shared" si="31"/>
        <v>0</v>
      </c>
      <c r="N657">
        <f t="shared" si="32"/>
        <v>0</v>
      </c>
    </row>
    <row r="658" spans="1:14">
      <c r="A658">
        <v>7773</v>
      </c>
      <c r="B658" t="s">
        <v>1220</v>
      </c>
      <c r="C658" t="s">
        <v>755</v>
      </c>
      <c r="D658" t="s">
        <v>1221</v>
      </c>
      <c r="E658">
        <v>431014</v>
      </c>
      <c r="G658" s="2">
        <v>0.39444444444444443</v>
      </c>
      <c r="H658" s="2">
        <v>0.40972222222222227</v>
      </c>
      <c r="J658">
        <v>0.342323651452282</v>
      </c>
      <c r="K658" t="s">
        <v>798</v>
      </c>
      <c r="L658" t="str">
        <f t="shared" si="30"/>
        <v>33</v>
      </c>
      <c r="M658">
        <f t="shared" si="31"/>
        <v>0</v>
      </c>
      <c r="N658">
        <f t="shared" si="32"/>
        <v>0</v>
      </c>
    </row>
    <row r="659" spans="1:14">
      <c r="A659">
        <v>7773</v>
      </c>
      <c r="B659" t="s">
        <v>1220</v>
      </c>
      <c r="C659" t="s">
        <v>755</v>
      </c>
      <c r="D659" t="s">
        <v>1221</v>
      </c>
      <c r="E659">
        <v>431014</v>
      </c>
      <c r="G659" s="2">
        <v>0.40972222222222227</v>
      </c>
      <c r="H659" s="2">
        <v>0.4152777777777778</v>
      </c>
      <c r="J659">
        <v>0.124481327800829</v>
      </c>
      <c r="K659" t="s">
        <v>814</v>
      </c>
      <c r="L659" t="str">
        <f t="shared" si="30"/>
        <v>33</v>
      </c>
      <c r="M659">
        <f t="shared" si="31"/>
        <v>0</v>
      </c>
      <c r="N659">
        <f t="shared" si="32"/>
        <v>0</v>
      </c>
    </row>
    <row r="660" spans="1:14">
      <c r="A660">
        <v>7773</v>
      </c>
      <c r="B660" t="s">
        <v>1220</v>
      </c>
      <c r="C660" t="s">
        <v>755</v>
      </c>
      <c r="D660" t="s">
        <v>1221</v>
      </c>
      <c r="E660">
        <v>431014</v>
      </c>
      <c r="G660" s="2">
        <v>0.4152777777777778</v>
      </c>
      <c r="H660" s="2">
        <v>0.41736111111111113</v>
      </c>
      <c r="J660">
        <v>4.6680497925311197E-2</v>
      </c>
      <c r="K660" t="s">
        <v>798</v>
      </c>
      <c r="L660" t="str">
        <f t="shared" si="30"/>
        <v>33</v>
      </c>
      <c r="M660">
        <f t="shared" si="31"/>
        <v>0</v>
      </c>
      <c r="N660">
        <f t="shared" si="32"/>
        <v>0</v>
      </c>
    </row>
    <row r="661" spans="1:14">
      <c r="A661">
        <v>7773</v>
      </c>
      <c r="B661" t="s">
        <v>1220</v>
      </c>
      <c r="C661" t="s">
        <v>755</v>
      </c>
      <c r="D661" t="s">
        <v>1221</v>
      </c>
      <c r="E661">
        <v>431014</v>
      </c>
      <c r="G661" s="2">
        <v>0.41736111111111113</v>
      </c>
      <c r="H661" s="2">
        <v>0.41944444444444445</v>
      </c>
      <c r="J661">
        <v>4.6680497925311197E-2</v>
      </c>
      <c r="K661" t="s">
        <v>814</v>
      </c>
      <c r="L661" t="str">
        <f t="shared" si="30"/>
        <v>33</v>
      </c>
      <c r="M661">
        <f t="shared" si="31"/>
        <v>0</v>
      </c>
      <c r="N661">
        <f t="shared" si="32"/>
        <v>0</v>
      </c>
    </row>
    <row r="662" spans="1:14">
      <c r="A662">
        <v>7773</v>
      </c>
      <c r="B662" t="s">
        <v>1220</v>
      </c>
      <c r="C662" t="s">
        <v>755</v>
      </c>
      <c r="D662" t="s">
        <v>1221</v>
      </c>
      <c r="E662">
        <v>431014</v>
      </c>
      <c r="G662" s="2">
        <v>0.41944444444444445</v>
      </c>
      <c r="H662" s="2">
        <v>0.42083333333333334</v>
      </c>
      <c r="J662">
        <v>3.11203319502074E-2</v>
      </c>
      <c r="K662" t="s">
        <v>798</v>
      </c>
      <c r="L662" t="str">
        <f t="shared" si="30"/>
        <v>33</v>
      </c>
      <c r="M662">
        <f t="shared" si="31"/>
        <v>0</v>
      </c>
      <c r="N662">
        <f t="shared" si="32"/>
        <v>0</v>
      </c>
    </row>
    <row r="663" spans="1:14">
      <c r="A663">
        <v>7773</v>
      </c>
      <c r="B663" t="s">
        <v>1220</v>
      </c>
      <c r="C663" t="s">
        <v>755</v>
      </c>
      <c r="D663" t="s">
        <v>1221</v>
      </c>
      <c r="E663">
        <v>431014</v>
      </c>
      <c r="G663" s="2">
        <v>0.42083333333333334</v>
      </c>
      <c r="H663" s="2">
        <v>0.43194444444444446</v>
      </c>
      <c r="J663">
        <v>0.24896265560166</v>
      </c>
      <c r="K663" t="s">
        <v>814</v>
      </c>
      <c r="L663" t="str">
        <f t="shared" si="30"/>
        <v>33</v>
      </c>
      <c r="M663">
        <f t="shared" si="31"/>
        <v>0</v>
      </c>
      <c r="N663">
        <f t="shared" si="32"/>
        <v>0</v>
      </c>
    </row>
    <row r="664" spans="1:14">
      <c r="A664">
        <v>7773</v>
      </c>
      <c r="B664" t="s">
        <v>1220</v>
      </c>
      <c r="C664" t="s">
        <v>755</v>
      </c>
      <c r="D664" t="s">
        <v>1221</v>
      </c>
      <c r="E664">
        <v>431014</v>
      </c>
      <c r="G664" s="2">
        <v>0.43194444444444446</v>
      </c>
      <c r="H664" s="2">
        <v>0.4458333333333333</v>
      </c>
      <c r="J664">
        <v>0.31120331950207403</v>
      </c>
      <c r="K664" t="s">
        <v>798</v>
      </c>
      <c r="L664" t="str">
        <f t="shared" si="30"/>
        <v>33</v>
      </c>
      <c r="M664">
        <f t="shared" si="31"/>
        <v>0</v>
      </c>
      <c r="N664">
        <f t="shared" si="32"/>
        <v>0</v>
      </c>
    </row>
    <row r="665" spans="1:14">
      <c r="A665">
        <v>7773</v>
      </c>
      <c r="B665" t="s">
        <v>1220</v>
      </c>
      <c r="C665" t="s">
        <v>755</v>
      </c>
      <c r="D665" t="s">
        <v>1221</v>
      </c>
      <c r="E665">
        <v>431014</v>
      </c>
      <c r="G665" s="2">
        <v>0.4458333333333333</v>
      </c>
      <c r="H665" s="2">
        <v>0.45416666666666666</v>
      </c>
      <c r="J665">
        <v>0.18672199170124401</v>
      </c>
      <c r="K665" t="s">
        <v>814</v>
      </c>
      <c r="L665" t="str">
        <f t="shared" si="30"/>
        <v>33</v>
      </c>
      <c r="M665">
        <f t="shared" si="31"/>
        <v>0</v>
      </c>
      <c r="N665">
        <f t="shared" si="32"/>
        <v>0</v>
      </c>
    </row>
    <row r="666" spans="1:14">
      <c r="A666">
        <v>7773</v>
      </c>
      <c r="B666" t="s">
        <v>1220</v>
      </c>
      <c r="C666" t="s">
        <v>755</v>
      </c>
      <c r="D666" t="s">
        <v>1221</v>
      </c>
      <c r="E666">
        <v>431014</v>
      </c>
      <c r="G666" s="2">
        <v>0.45416666666666666</v>
      </c>
      <c r="H666" s="2">
        <v>0.45555555555555555</v>
      </c>
      <c r="J666">
        <v>3.11203319502074E-2</v>
      </c>
      <c r="K666" t="s">
        <v>798</v>
      </c>
      <c r="L666" t="str">
        <f t="shared" si="30"/>
        <v>33</v>
      </c>
      <c r="M666">
        <f t="shared" si="31"/>
        <v>0</v>
      </c>
      <c r="N666">
        <f t="shared" si="32"/>
        <v>0</v>
      </c>
    </row>
    <row r="667" spans="1:14">
      <c r="A667">
        <v>7773</v>
      </c>
      <c r="B667" t="s">
        <v>1220</v>
      </c>
      <c r="C667" t="s">
        <v>755</v>
      </c>
      <c r="D667" t="s">
        <v>1221</v>
      </c>
      <c r="E667">
        <v>431014</v>
      </c>
      <c r="G667" s="2">
        <v>0.45555555555555555</v>
      </c>
      <c r="H667" s="2">
        <v>0.4604166666666667</v>
      </c>
      <c r="J667">
        <v>0.108921161825726</v>
      </c>
      <c r="K667" t="s">
        <v>814</v>
      </c>
      <c r="L667" t="str">
        <f t="shared" si="30"/>
        <v>33</v>
      </c>
      <c r="M667">
        <f t="shared" si="31"/>
        <v>0</v>
      </c>
      <c r="N667">
        <f t="shared" si="32"/>
        <v>0</v>
      </c>
    </row>
    <row r="668" spans="1:14">
      <c r="A668">
        <v>7773</v>
      </c>
      <c r="B668" t="s">
        <v>1220</v>
      </c>
      <c r="C668" t="s">
        <v>755</v>
      </c>
      <c r="D668" t="s">
        <v>1221</v>
      </c>
      <c r="E668">
        <v>431014</v>
      </c>
      <c r="G668" s="2">
        <v>0.4604166666666667</v>
      </c>
      <c r="H668" s="2">
        <v>0.46250000000000002</v>
      </c>
      <c r="J668">
        <v>4.6680497925311197E-2</v>
      </c>
      <c r="K668" t="s">
        <v>798</v>
      </c>
      <c r="L668" t="str">
        <f t="shared" si="30"/>
        <v>33</v>
      </c>
      <c r="M668">
        <f t="shared" si="31"/>
        <v>0</v>
      </c>
      <c r="N668">
        <f t="shared" si="32"/>
        <v>0</v>
      </c>
    </row>
    <row r="669" spans="1:14">
      <c r="A669">
        <v>7773</v>
      </c>
      <c r="B669" t="s">
        <v>1220</v>
      </c>
      <c r="C669" t="s">
        <v>755</v>
      </c>
      <c r="D669" t="s">
        <v>1221</v>
      </c>
      <c r="E669">
        <v>431014</v>
      </c>
      <c r="G669" s="2">
        <v>0.46250000000000002</v>
      </c>
      <c r="H669" s="2">
        <v>0.47083333333333338</v>
      </c>
      <c r="J669">
        <v>0.18672199170124401</v>
      </c>
      <c r="K669" t="s">
        <v>814</v>
      </c>
      <c r="L669" t="str">
        <f t="shared" si="30"/>
        <v>33</v>
      </c>
      <c r="M669">
        <f t="shared" si="31"/>
        <v>0</v>
      </c>
      <c r="N669">
        <f t="shared" si="32"/>
        <v>0</v>
      </c>
    </row>
    <row r="670" spans="1:14">
      <c r="A670">
        <v>7773</v>
      </c>
      <c r="B670" t="s">
        <v>1220</v>
      </c>
      <c r="C670" t="s">
        <v>755</v>
      </c>
      <c r="D670" t="s">
        <v>1221</v>
      </c>
      <c r="E670">
        <v>431014</v>
      </c>
      <c r="G670" s="2">
        <v>0.47083333333333338</v>
      </c>
      <c r="H670" s="2">
        <v>0.47222222222222227</v>
      </c>
      <c r="J670">
        <v>3.11203319502074E-2</v>
      </c>
      <c r="K670" t="s">
        <v>798</v>
      </c>
      <c r="L670" t="str">
        <f t="shared" si="30"/>
        <v>33</v>
      </c>
      <c r="M670">
        <f t="shared" si="31"/>
        <v>0</v>
      </c>
      <c r="N670">
        <f t="shared" si="32"/>
        <v>0</v>
      </c>
    </row>
    <row r="671" spans="1:14">
      <c r="A671">
        <v>7773</v>
      </c>
      <c r="B671" t="s">
        <v>1220</v>
      </c>
      <c r="C671" t="s">
        <v>755</v>
      </c>
      <c r="D671" t="s">
        <v>1221</v>
      </c>
      <c r="E671">
        <v>431014</v>
      </c>
      <c r="G671" s="2">
        <v>0.47222222222222227</v>
      </c>
      <c r="H671" s="2">
        <v>0.47430555555555554</v>
      </c>
      <c r="J671">
        <v>4.6680497925311197E-2</v>
      </c>
      <c r="K671" t="s">
        <v>814</v>
      </c>
      <c r="L671" t="str">
        <f t="shared" si="30"/>
        <v>33</v>
      </c>
      <c r="M671">
        <f t="shared" si="31"/>
        <v>0</v>
      </c>
      <c r="N671">
        <f t="shared" si="32"/>
        <v>0</v>
      </c>
    </row>
    <row r="672" spans="1:14">
      <c r="A672">
        <v>7773</v>
      </c>
      <c r="B672" t="s">
        <v>1220</v>
      </c>
      <c r="C672" t="s">
        <v>755</v>
      </c>
      <c r="D672" t="s">
        <v>1221</v>
      </c>
      <c r="E672">
        <v>431014</v>
      </c>
      <c r="G672" s="2">
        <v>0.47430555555555554</v>
      </c>
      <c r="H672" s="2">
        <v>0.48333333333333334</v>
      </c>
      <c r="J672">
        <v>0.202282157676348</v>
      </c>
      <c r="K672" t="s">
        <v>798</v>
      </c>
      <c r="L672" t="str">
        <f t="shared" si="30"/>
        <v>33</v>
      </c>
      <c r="M672">
        <f t="shared" si="31"/>
        <v>0</v>
      </c>
      <c r="N672">
        <f t="shared" si="32"/>
        <v>0</v>
      </c>
    </row>
    <row r="673" spans="1:14">
      <c r="A673">
        <v>7773</v>
      </c>
      <c r="B673" t="s">
        <v>1220</v>
      </c>
      <c r="C673" t="s">
        <v>755</v>
      </c>
      <c r="D673" t="s">
        <v>1221</v>
      </c>
      <c r="E673">
        <v>431014</v>
      </c>
      <c r="G673" s="2">
        <v>0.48333333333333334</v>
      </c>
      <c r="H673" s="2">
        <v>0.50902777777777775</v>
      </c>
      <c r="J673">
        <v>0.57572614107883802</v>
      </c>
      <c r="K673" t="s">
        <v>814</v>
      </c>
      <c r="L673" t="str">
        <f t="shared" si="30"/>
        <v>33</v>
      </c>
      <c r="M673">
        <f t="shared" si="31"/>
        <v>0</v>
      </c>
      <c r="N673">
        <f t="shared" si="32"/>
        <v>0</v>
      </c>
    </row>
    <row r="674" spans="1:14">
      <c r="A674">
        <v>7773</v>
      </c>
      <c r="B674" t="s">
        <v>1220</v>
      </c>
      <c r="C674" t="s">
        <v>755</v>
      </c>
      <c r="D674" t="s">
        <v>1221</v>
      </c>
      <c r="E674">
        <v>431014</v>
      </c>
      <c r="G674" s="2">
        <v>0.50902777777777775</v>
      </c>
      <c r="H674" s="2">
        <v>0.54166666666666663</v>
      </c>
      <c r="J674">
        <v>0.73132780082987503</v>
      </c>
      <c r="K674" t="s">
        <v>798</v>
      </c>
      <c r="L674" t="str">
        <f t="shared" si="30"/>
        <v>33</v>
      </c>
      <c r="M674">
        <f t="shared" si="31"/>
        <v>0</v>
      </c>
      <c r="N674">
        <f t="shared" si="32"/>
        <v>0</v>
      </c>
    </row>
    <row r="675" spans="1:14">
      <c r="A675">
        <v>7773</v>
      </c>
      <c r="B675" t="s">
        <v>1220</v>
      </c>
      <c r="C675" t="s">
        <v>755</v>
      </c>
      <c r="D675" t="s">
        <v>1221</v>
      </c>
      <c r="E675">
        <v>431014</v>
      </c>
      <c r="G675" s="2">
        <v>0.54166666666666663</v>
      </c>
      <c r="H675" s="2">
        <v>0.54374999999999996</v>
      </c>
      <c r="J675">
        <v>4.6680497925311197E-2</v>
      </c>
      <c r="K675" t="s">
        <v>814</v>
      </c>
      <c r="L675" t="str">
        <f t="shared" si="30"/>
        <v>33</v>
      </c>
      <c r="M675">
        <f t="shared" si="31"/>
        <v>0</v>
      </c>
      <c r="N675">
        <f t="shared" si="32"/>
        <v>0</v>
      </c>
    </row>
    <row r="676" spans="1:14">
      <c r="A676">
        <v>7773</v>
      </c>
      <c r="B676" t="s">
        <v>1220</v>
      </c>
      <c r="C676" t="s">
        <v>755</v>
      </c>
      <c r="D676" t="s">
        <v>1221</v>
      </c>
      <c r="E676">
        <v>431014</v>
      </c>
      <c r="G676" s="2">
        <v>0.54374999999999996</v>
      </c>
      <c r="H676" s="2">
        <v>0.54652777777777783</v>
      </c>
      <c r="J676">
        <v>6.2240663900414897E-2</v>
      </c>
      <c r="K676" t="s">
        <v>798</v>
      </c>
      <c r="L676" t="str">
        <f t="shared" si="30"/>
        <v>33</v>
      </c>
      <c r="M676">
        <f t="shared" si="31"/>
        <v>0</v>
      </c>
      <c r="N676">
        <f t="shared" si="32"/>
        <v>0</v>
      </c>
    </row>
    <row r="677" spans="1:14">
      <c r="A677">
        <v>7773</v>
      </c>
      <c r="B677" t="s">
        <v>1220</v>
      </c>
      <c r="C677" t="s">
        <v>755</v>
      </c>
      <c r="D677" t="s">
        <v>1221</v>
      </c>
      <c r="E677">
        <v>431014</v>
      </c>
      <c r="G677" s="2">
        <v>0.54652777777777783</v>
      </c>
      <c r="H677" s="2">
        <v>0.5541666666666667</v>
      </c>
      <c r="J677">
        <v>0.17116182572614</v>
      </c>
      <c r="K677" t="s">
        <v>814</v>
      </c>
      <c r="L677" t="str">
        <f t="shared" si="30"/>
        <v>33</v>
      </c>
      <c r="M677">
        <f t="shared" si="31"/>
        <v>0</v>
      </c>
      <c r="N677">
        <f t="shared" si="32"/>
        <v>0</v>
      </c>
    </row>
    <row r="678" spans="1:14">
      <c r="A678">
        <v>7773</v>
      </c>
      <c r="B678" t="s">
        <v>1220</v>
      </c>
      <c r="C678" t="s">
        <v>755</v>
      </c>
      <c r="D678" t="s">
        <v>1221</v>
      </c>
      <c r="E678">
        <v>431014</v>
      </c>
      <c r="G678" s="2">
        <v>0.5541666666666667</v>
      </c>
      <c r="H678" s="2">
        <v>0.55972222222222223</v>
      </c>
      <c r="J678">
        <v>0.124481327800829</v>
      </c>
      <c r="K678" t="s">
        <v>798</v>
      </c>
      <c r="L678" t="str">
        <f t="shared" si="30"/>
        <v>33</v>
      </c>
      <c r="M678">
        <f t="shared" si="31"/>
        <v>0</v>
      </c>
      <c r="N678">
        <f t="shared" si="32"/>
        <v>0</v>
      </c>
    </row>
    <row r="679" spans="1:14">
      <c r="A679">
        <v>7773</v>
      </c>
      <c r="B679" t="s">
        <v>1220</v>
      </c>
      <c r="C679" t="s">
        <v>755</v>
      </c>
      <c r="D679" t="s">
        <v>1221</v>
      </c>
      <c r="E679">
        <v>431014</v>
      </c>
      <c r="G679" s="2">
        <v>0.55972222222222223</v>
      </c>
      <c r="H679" s="2">
        <v>0.56111111111111112</v>
      </c>
      <c r="J679">
        <v>3.11203319502074E-2</v>
      </c>
      <c r="K679" t="s">
        <v>814</v>
      </c>
      <c r="L679" t="str">
        <f t="shared" si="30"/>
        <v>33</v>
      </c>
      <c r="M679">
        <f t="shared" si="31"/>
        <v>0</v>
      </c>
      <c r="N679">
        <f t="shared" si="32"/>
        <v>0</v>
      </c>
    </row>
    <row r="680" spans="1:14">
      <c r="A680">
        <v>7773</v>
      </c>
      <c r="B680" t="s">
        <v>1220</v>
      </c>
      <c r="C680" t="s">
        <v>755</v>
      </c>
      <c r="D680" t="s">
        <v>1221</v>
      </c>
      <c r="E680">
        <v>431014</v>
      </c>
      <c r="G680" s="2">
        <v>0.56111111111111112</v>
      </c>
      <c r="H680" s="2">
        <v>0.56597222222222221</v>
      </c>
      <c r="J680">
        <v>0.108921161825726</v>
      </c>
      <c r="K680" t="s">
        <v>798</v>
      </c>
      <c r="L680" t="str">
        <f t="shared" si="30"/>
        <v>33</v>
      </c>
      <c r="M680">
        <f t="shared" si="31"/>
        <v>0</v>
      </c>
      <c r="N680">
        <f t="shared" si="32"/>
        <v>0</v>
      </c>
    </row>
    <row r="681" spans="1:14">
      <c r="A681">
        <v>7773</v>
      </c>
      <c r="B681" t="s">
        <v>1220</v>
      </c>
      <c r="C681" t="s">
        <v>755</v>
      </c>
      <c r="D681" t="s">
        <v>1221</v>
      </c>
      <c r="E681">
        <v>431014</v>
      </c>
      <c r="G681" s="2">
        <v>0.56597222222222221</v>
      </c>
      <c r="H681" s="2">
        <v>0.57499999999999996</v>
      </c>
      <c r="J681">
        <v>0.202282157676348</v>
      </c>
      <c r="K681" t="s">
        <v>814</v>
      </c>
      <c r="L681" t="str">
        <f t="shared" si="30"/>
        <v>33</v>
      </c>
      <c r="M681">
        <f t="shared" si="31"/>
        <v>0</v>
      </c>
      <c r="N681">
        <f t="shared" si="32"/>
        <v>0</v>
      </c>
    </row>
    <row r="682" spans="1:14">
      <c r="A682">
        <v>7773</v>
      </c>
      <c r="B682" t="s">
        <v>1220</v>
      </c>
      <c r="C682" t="s">
        <v>755</v>
      </c>
      <c r="D682" t="s">
        <v>1221</v>
      </c>
      <c r="E682">
        <v>431014</v>
      </c>
      <c r="G682" s="2">
        <v>0.57499999999999996</v>
      </c>
      <c r="H682" s="2">
        <v>0.59722222222222221</v>
      </c>
      <c r="J682">
        <v>0.49792531120331901</v>
      </c>
      <c r="K682" t="s">
        <v>798</v>
      </c>
      <c r="L682" t="str">
        <f t="shared" si="30"/>
        <v>33</v>
      </c>
      <c r="M682">
        <f t="shared" si="31"/>
        <v>0</v>
      </c>
      <c r="N682">
        <f t="shared" si="32"/>
        <v>0</v>
      </c>
    </row>
    <row r="683" spans="1:14">
      <c r="A683">
        <v>7773</v>
      </c>
      <c r="B683" t="s">
        <v>1220</v>
      </c>
      <c r="C683" t="s">
        <v>755</v>
      </c>
      <c r="D683" t="s">
        <v>1221</v>
      </c>
      <c r="E683">
        <v>431014</v>
      </c>
      <c r="G683" s="2">
        <v>0.59722222222222221</v>
      </c>
      <c r="H683" s="2">
        <v>0.6</v>
      </c>
      <c r="J683">
        <v>6.2240663900414897E-2</v>
      </c>
      <c r="K683" t="s">
        <v>814</v>
      </c>
      <c r="L683" t="str">
        <f t="shared" si="30"/>
        <v>33</v>
      </c>
      <c r="M683">
        <f t="shared" si="31"/>
        <v>0</v>
      </c>
      <c r="N683">
        <f t="shared" si="32"/>
        <v>0</v>
      </c>
    </row>
    <row r="684" spans="1:14">
      <c r="A684">
        <v>7773</v>
      </c>
      <c r="B684" t="s">
        <v>1220</v>
      </c>
      <c r="C684" t="s">
        <v>755</v>
      </c>
      <c r="D684" t="s">
        <v>1221</v>
      </c>
      <c r="E684">
        <v>431014</v>
      </c>
      <c r="G684" s="2">
        <v>0.6</v>
      </c>
      <c r="H684" s="2">
        <v>0.60833333333333328</v>
      </c>
      <c r="J684">
        <v>0.18672199170124401</v>
      </c>
      <c r="K684" t="s">
        <v>798</v>
      </c>
      <c r="L684" t="str">
        <f t="shared" si="30"/>
        <v>33</v>
      </c>
      <c r="M684">
        <f t="shared" si="31"/>
        <v>0</v>
      </c>
      <c r="N684">
        <f t="shared" si="32"/>
        <v>0</v>
      </c>
    </row>
    <row r="685" spans="1:14">
      <c r="A685">
        <v>7773</v>
      </c>
      <c r="B685" t="s">
        <v>1220</v>
      </c>
      <c r="C685" t="s">
        <v>755</v>
      </c>
      <c r="D685" t="s">
        <v>1221</v>
      </c>
      <c r="E685">
        <v>431014</v>
      </c>
      <c r="G685" s="2">
        <v>0.60833333333333328</v>
      </c>
      <c r="H685" s="2">
        <v>0.6166666666666667</v>
      </c>
      <c r="J685">
        <v>0.18672199170124401</v>
      </c>
      <c r="K685" t="s">
        <v>813</v>
      </c>
      <c r="L685" t="str">
        <f t="shared" si="30"/>
        <v>33</v>
      </c>
      <c r="M685">
        <f t="shared" si="31"/>
        <v>0</v>
      </c>
      <c r="N685">
        <f t="shared" si="32"/>
        <v>0</v>
      </c>
    </row>
    <row r="686" spans="1:14">
      <c r="A686">
        <v>7773</v>
      </c>
      <c r="B686" t="s">
        <v>1220</v>
      </c>
      <c r="C686" t="s">
        <v>755</v>
      </c>
      <c r="D686" t="s">
        <v>1221</v>
      </c>
      <c r="E686">
        <v>431014</v>
      </c>
      <c r="G686" s="2">
        <v>0.6166666666666667</v>
      </c>
      <c r="H686" s="2">
        <v>0.62916666666666665</v>
      </c>
      <c r="J686">
        <v>0.280082987551867</v>
      </c>
      <c r="K686" t="s">
        <v>798</v>
      </c>
      <c r="L686" t="str">
        <f t="shared" si="30"/>
        <v>33</v>
      </c>
      <c r="M686">
        <f t="shared" si="31"/>
        <v>0</v>
      </c>
      <c r="N686">
        <f t="shared" si="32"/>
        <v>0</v>
      </c>
    </row>
    <row r="687" spans="1:14">
      <c r="A687">
        <v>7773</v>
      </c>
      <c r="B687" t="s">
        <v>1220</v>
      </c>
      <c r="C687" t="s">
        <v>755</v>
      </c>
      <c r="D687" t="s">
        <v>1221</v>
      </c>
      <c r="E687">
        <v>431014</v>
      </c>
      <c r="G687" s="2">
        <v>0.62916666666666665</v>
      </c>
      <c r="H687" s="2">
        <v>0.6430555555555556</v>
      </c>
      <c r="J687">
        <v>0.31120331950207403</v>
      </c>
      <c r="K687" t="s">
        <v>813</v>
      </c>
      <c r="L687" t="str">
        <f t="shared" si="30"/>
        <v>33</v>
      </c>
      <c r="M687">
        <f t="shared" si="31"/>
        <v>0</v>
      </c>
      <c r="N687">
        <f t="shared" si="32"/>
        <v>0</v>
      </c>
    </row>
    <row r="688" spans="1:14">
      <c r="A688">
        <v>7773</v>
      </c>
      <c r="B688" t="s">
        <v>1220</v>
      </c>
      <c r="C688" t="s">
        <v>755</v>
      </c>
      <c r="D688" t="s">
        <v>1221</v>
      </c>
      <c r="E688">
        <v>431014</v>
      </c>
      <c r="G688" s="2">
        <v>0.6430555555555556</v>
      </c>
      <c r="H688" s="2">
        <v>0.64583333333333337</v>
      </c>
      <c r="J688">
        <v>6.2240663900414897E-2</v>
      </c>
      <c r="K688" t="s">
        <v>798</v>
      </c>
      <c r="L688" t="str">
        <f t="shared" si="30"/>
        <v>33</v>
      </c>
      <c r="M688">
        <f t="shared" si="31"/>
        <v>0</v>
      </c>
      <c r="N688">
        <f t="shared" si="32"/>
        <v>0</v>
      </c>
    </row>
    <row r="689" spans="1:14">
      <c r="A689">
        <v>7773</v>
      </c>
      <c r="B689" t="s">
        <v>1220</v>
      </c>
      <c r="C689" t="s">
        <v>755</v>
      </c>
      <c r="D689" t="s">
        <v>1221</v>
      </c>
      <c r="E689">
        <v>431014</v>
      </c>
      <c r="G689" s="2">
        <v>0.64583333333333337</v>
      </c>
      <c r="H689" s="2">
        <v>0.67222222222222217</v>
      </c>
      <c r="J689">
        <v>0.59128630705394103</v>
      </c>
      <c r="K689" t="s">
        <v>812</v>
      </c>
      <c r="L689" t="str">
        <f t="shared" si="30"/>
        <v>33</v>
      </c>
      <c r="M689">
        <f t="shared" si="31"/>
        <v>0</v>
      </c>
      <c r="N689">
        <f t="shared" si="32"/>
        <v>0</v>
      </c>
    </row>
    <row r="690" spans="1:14">
      <c r="A690">
        <v>7773</v>
      </c>
      <c r="B690" t="s">
        <v>1220</v>
      </c>
      <c r="C690" t="s">
        <v>755</v>
      </c>
      <c r="D690" t="s">
        <v>1221</v>
      </c>
      <c r="E690">
        <v>431014</v>
      </c>
      <c r="G690" s="2">
        <v>0.67222222222222217</v>
      </c>
      <c r="H690" s="2">
        <v>0.69236111111111109</v>
      </c>
      <c r="J690">
        <v>0.45124481327800797</v>
      </c>
      <c r="K690" t="s">
        <v>798</v>
      </c>
      <c r="L690" t="str">
        <f t="shared" si="30"/>
        <v>33</v>
      </c>
      <c r="M690">
        <f t="shared" si="31"/>
        <v>0</v>
      </c>
      <c r="N690">
        <f t="shared" si="32"/>
        <v>0</v>
      </c>
    </row>
    <row r="691" spans="1:14">
      <c r="A691">
        <v>7773</v>
      </c>
      <c r="B691" t="s">
        <v>1220</v>
      </c>
      <c r="C691" t="s">
        <v>755</v>
      </c>
      <c r="D691" t="s">
        <v>1221</v>
      </c>
      <c r="E691">
        <v>431014</v>
      </c>
      <c r="G691" s="2">
        <v>0.69236111111111109</v>
      </c>
      <c r="H691" s="2">
        <v>0.69652777777777775</v>
      </c>
      <c r="J691">
        <v>9.3360995850622394E-2</v>
      </c>
      <c r="K691" t="s">
        <v>812</v>
      </c>
      <c r="L691" t="str">
        <f t="shared" si="30"/>
        <v>33</v>
      </c>
      <c r="M691">
        <f t="shared" si="31"/>
        <v>0</v>
      </c>
      <c r="N691">
        <f t="shared" si="32"/>
        <v>0</v>
      </c>
    </row>
    <row r="692" spans="1:14">
      <c r="A692">
        <v>7773</v>
      </c>
      <c r="B692" t="s">
        <v>1220</v>
      </c>
      <c r="C692" t="s">
        <v>755</v>
      </c>
      <c r="D692" t="s">
        <v>1221</v>
      </c>
      <c r="E692">
        <v>431014</v>
      </c>
      <c r="G692" s="2">
        <v>0.69652777777777775</v>
      </c>
      <c r="H692" s="2">
        <v>0.69791666666666663</v>
      </c>
      <c r="J692">
        <v>3.11203319502074E-2</v>
      </c>
      <c r="K692" t="s">
        <v>798</v>
      </c>
      <c r="L692" t="str">
        <f t="shared" si="30"/>
        <v>33</v>
      </c>
      <c r="M692">
        <f t="shared" si="31"/>
        <v>0</v>
      </c>
      <c r="N692">
        <f t="shared" si="32"/>
        <v>0</v>
      </c>
    </row>
    <row r="693" spans="1:14">
      <c r="A693">
        <v>7773</v>
      </c>
      <c r="B693" t="s">
        <v>1220</v>
      </c>
      <c r="C693" t="s">
        <v>755</v>
      </c>
      <c r="D693" t="s">
        <v>1221</v>
      </c>
      <c r="E693">
        <v>431014</v>
      </c>
      <c r="G693" s="2">
        <v>0.69791666666666663</v>
      </c>
      <c r="H693" s="2">
        <v>0.70625000000000004</v>
      </c>
      <c r="J693">
        <v>0.18672199170124401</v>
      </c>
      <c r="K693" t="s">
        <v>812</v>
      </c>
      <c r="L693" t="str">
        <f t="shared" si="30"/>
        <v>33</v>
      </c>
      <c r="M693">
        <f t="shared" si="31"/>
        <v>0</v>
      </c>
      <c r="N693">
        <f t="shared" si="32"/>
        <v>0</v>
      </c>
    </row>
    <row r="694" spans="1:14">
      <c r="A694">
        <v>7773</v>
      </c>
      <c r="B694" t="s">
        <v>1220</v>
      </c>
      <c r="C694" t="s">
        <v>755</v>
      </c>
      <c r="D694" t="s">
        <v>1221</v>
      </c>
      <c r="E694">
        <v>431014</v>
      </c>
      <c r="G694" s="2">
        <v>0.70625000000000004</v>
      </c>
      <c r="H694" s="2">
        <v>0.72916666666666663</v>
      </c>
      <c r="J694">
        <v>0.51348547717842297</v>
      </c>
      <c r="K694" t="s">
        <v>798</v>
      </c>
      <c r="L694" t="str">
        <f t="shared" si="30"/>
        <v>33</v>
      </c>
      <c r="M694">
        <f t="shared" si="31"/>
        <v>0</v>
      </c>
      <c r="N694">
        <f t="shared" si="32"/>
        <v>0</v>
      </c>
    </row>
    <row r="695" spans="1:14">
      <c r="A695">
        <v>7392</v>
      </c>
      <c r="B695" t="s">
        <v>1112</v>
      </c>
      <c r="C695" t="s">
        <v>754</v>
      </c>
      <c r="D695" t="s">
        <v>830</v>
      </c>
      <c r="E695">
        <v>47441</v>
      </c>
      <c r="G695" s="2">
        <v>0.51180555555555551</v>
      </c>
      <c r="H695" s="2">
        <v>0.62361111111111112</v>
      </c>
      <c r="J695">
        <v>2.68670343224146</v>
      </c>
      <c r="K695" t="s">
        <v>759</v>
      </c>
      <c r="L695" t="str">
        <f t="shared" si="30"/>
        <v>33</v>
      </c>
      <c r="M695">
        <f t="shared" si="31"/>
        <v>0</v>
      </c>
      <c r="N695">
        <f t="shared" si="32"/>
        <v>0</v>
      </c>
    </row>
    <row r="696" spans="1:14">
      <c r="A696">
        <v>7392</v>
      </c>
      <c r="B696" t="s">
        <v>1112</v>
      </c>
      <c r="C696" t="s">
        <v>754</v>
      </c>
      <c r="D696" t="s">
        <v>830</v>
      </c>
      <c r="E696">
        <v>47441</v>
      </c>
      <c r="G696" s="2">
        <v>0.62361111111111112</v>
      </c>
      <c r="H696" s="2">
        <v>0.63611111111111118</v>
      </c>
      <c r="J696">
        <v>0.30037678124438799</v>
      </c>
      <c r="K696" t="s">
        <v>831</v>
      </c>
      <c r="L696" t="str">
        <f t="shared" si="30"/>
        <v>33</v>
      </c>
      <c r="M696">
        <f t="shared" si="31"/>
        <v>0</v>
      </c>
      <c r="N696">
        <f t="shared" si="32"/>
        <v>0</v>
      </c>
    </row>
    <row r="697" spans="1:14">
      <c r="A697">
        <v>7392</v>
      </c>
      <c r="B697" t="s">
        <v>1112</v>
      </c>
      <c r="C697" t="s">
        <v>754</v>
      </c>
      <c r="D697" t="s">
        <v>830</v>
      </c>
      <c r="E697">
        <v>47441</v>
      </c>
      <c r="G697" s="2">
        <v>0.63611111111111118</v>
      </c>
      <c r="H697" s="2">
        <v>0.89583333333333337</v>
      </c>
      <c r="J697">
        <v>6.2411620103000596</v>
      </c>
      <c r="K697" t="s">
        <v>758</v>
      </c>
      <c r="L697" t="str">
        <f t="shared" si="30"/>
        <v>33</v>
      </c>
      <c r="M697">
        <f t="shared" si="31"/>
        <v>0</v>
      </c>
      <c r="N697">
        <f t="shared" si="32"/>
        <v>0</v>
      </c>
    </row>
    <row r="698" spans="1:14">
      <c r="A698">
        <v>7632</v>
      </c>
      <c r="B698" t="s">
        <v>922</v>
      </c>
      <c r="C698" t="s">
        <v>755</v>
      </c>
      <c r="D698" t="s">
        <v>771</v>
      </c>
      <c r="E698">
        <v>342301</v>
      </c>
      <c r="G698" s="2">
        <v>6.3194444444444442E-2</v>
      </c>
      <c r="H698" s="2">
        <v>6.7361111111111108E-2</v>
      </c>
      <c r="J698">
        <v>9.9953840031832997E-2</v>
      </c>
      <c r="K698" t="s">
        <v>798</v>
      </c>
      <c r="L698" t="str">
        <f t="shared" si="30"/>
        <v>33</v>
      </c>
      <c r="M698">
        <f t="shared" si="31"/>
        <v>0</v>
      </c>
      <c r="N698">
        <f t="shared" si="32"/>
        <v>0</v>
      </c>
    </row>
    <row r="699" spans="1:14">
      <c r="A699">
        <v>7632</v>
      </c>
      <c r="B699" t="s">
        <v>922</v>
      </c>
      <c r="C699" t="s">
        <v>755</v>
      </c>
      <c r="D699" t="s">
        <v>771</v>
      </c>
      <c r="E699">
        <v>342301</v>
      </c>
      <c r="G699" s="2">
        <v>6.7361111111111108E-2</v>
      </c>
      <c r="H699" s="2">
        <v>0.14652777777777778</v>
      </c>
      <c r="J699">
        <v>1.8991229606048201</v>
      </c>
      <c r="K699" t="s">
        <v>799</v>
      </c>
      <c r="L699" t="str">
        <f t="shared" si="30"/>
        <v>33</v>
      </c>
      <c r="M699">
        <f t="shared" si="31"/>
        <v>0</v>
      </c>
      <c r="N699">
        <f t="shared" si="32"/>
        <v>0</v>
      </c>
    </row>
    <row r="700" spans="1:14">
      <c r="A700">
        <v>7632</v>
      </c>
      <c r="B700" t="s">
        <v>922</v>
      </c>
      <c r="C700" t="s">
        <v>755</v>
      </c>
      <c r="D700" t="s">
        <v>771</v>
      </c>
      <c r="E700">
        <v>342301</v>
      </c>
      <c r="G700" s="2">
        <v>0.14652777777777778</v>
      </c>
      <c r="H700" s="2">
        <v>0.15625</v>
      </c>
      <c r="J700">
        <v>0.23322562674094299</v>
      </c>
      <c r="K700" t="s">
        <v>806</v>
      </c>
      <c r="L700" t="str">
        <f t="shared" si="30"/>
        <v>33</v>
      </c>
      <c r="M700">
        <f t="shared" si="31"/>
        <v>0</v>
      </c>
      <c r="N700">
        <f t="shared" si="32"/>
        <v>0</v>
      </c>
    </row>
    <row r="701" spans="1:14">
      <c r="A701">
        <v>7632</v>
      </c>
      <c r="B701" t="s">
        <v>922</v>
      </c>
      <c r="C701" t="s">
        <v>755</v>
      </c>
      <c r="D701" t="s">
        <v>771</v>
      </c>
      <c r="E701">
        <v>342301</v>
      </c>
      <c r="G701" s="2">
        <v>0.15625</v>
      </c>
      <c r="H701" s="2">
        <v>0.3125</v>
      </c>
      <c r="J701">
        <v>3.7482690011937301</v>
      </c>
      <c r="K701" t="s">
        <v>799</v>
      </c>
      <c r="L701" t="str">
        <f t="shared" si="30"/>
        <v>33</v>
      </c>
      <c r="M701">
        <f t="shared" si="31"/>
        <v>0</v>
      </c>
      <c r="N701">
        <f t="shared" si="32"/>
        <v>0</v>
      </c>
    </row>
    <row r="702" spans="1:14">
      <c r="A702">
        <v>7397</v>
      </c>
      <c r="B702" t="s">
        <v>1222</v>
      </c>
      <c r="C702" t="s">
        <v>754</v>
      </c>
      <c r="D702" t="s">
        <v>830</v>
      </c>
      <c r="E702">
        <v>47438</v>
      </c>
      <c r="G702" s="2">
        <v>0.50277777777777777</v>
      </c>
      <c r="H702" s="2">
        <v>0.89583333333333337</v>
      </c>
      <c r="J702">
        <v>9.4280882477127292</v>
      </c>
      <c r="K702" t="s">
        <v>865</v>
      </c>
      <c r="L702" t="str">
        <f t="shared" si="30"/>
        <v>33</v>
      </c>
      <c r="M702">
        <f t="shared" si="31"/>
        <v>0</v>
      </c>
      <c r="N702">
        <f t="shared" si="32"/>
        <v>0</v>
      </c>
    </row>
    <row r="703" spans="1:14">
      <c r="A703">
        <v>7474</v>
      </c>
      <c r="B703" t="s">
        <v>1113</v>
      </c>
      <c r="C703" t="s">
        <v>755</v>
      </c>
      <c r="D703" t="s">
        <v>832</v>
      </c>
      <c r="E703">
        <v>82569</v>
      </c>
      <c r="G703" s="2">
        <v>0.21527777777777779</v>
      </c>
      <c r="H703" s="2">
        <v>0.37638888888888888</v>
      </c>
      <c r="J703">
        <v>3.6183990294206301</v>
      </c>
      <c r="K703" t="s">
        <v>778</v>
      </c>
      <c r="L703" t="str">
        <f t="shared" si="30"/>
        <v>37</v>
      </c>
      <c r="M703">
        <f t="shared" si="31"/>
        <v>0</v>
      </c>
      <c r="N703">
        <f t="shared" si="32"/>
        <v>0</v>
      </c>
    </row>
    <row r="704" spans="1:14">
      <c r="A704">
        <v>7474</v>
      </c>
      <c r="B704" t="s">
        <v>1113</v>
      </c>
      <c r="C704" t="s">
        <v>755</v>
      </c>
      <c r="D704" t="s">
        <v>832</v>
      </c>
      <c r="E704">
        <v>82569</v>
      </c>
      <c r="G704" s="2">
        <v>0.37638888888888888</v>
      </c>
      <c r="H704" s="2">
        <v>0.37986111111111115</v>
      </c>
      <c r="J704">
        <v>7.79827377030307E-2</v>
      </c>
      <c r="K704" t="s">
        <v>767</v>
      </c>
      <c r="L704" t="str">
        <f t="shared" si="30"/>
        <v>37</v>
      </c>
      <c r="M704">
        <f t="shared" si="31"/>
        <v>0</v>
      </c>
      <c r="N704">
        <f t="shared" si="32"/>
        <v>0</v>
      </c>
    </row>
    <row r="705" spans="1:14">
      <c r="A705">
        <v>7474</v>
      </c>
      <c r="B705" t="s">
        <v>1113</v>
      </c>
      <c r="C705" t="s">
        <v>755</v>
      </c>
      <c r="D705" t="s">
        <v>832</v>
      </c>
      <c r="E705">
        <v>82569</v>
      </c>
      <c r="G705" s="2">
        <v>0.37986111111111115</v>
      </c>
      <c r="H705" s="2">
        <v>0.48958333333333331</v>
      </c>
      <c r="J705">
        <v>2.4642545114157599</v>
      </c>
      <c r="K705" t="s">
        <v>768</v>
      </c>
      <c r="L705" t="str">
        <f t="shared" si="30"/>
        <v>46</v>
      </c>
      <c r="M705">
        <f t="shared" si="31"/>
        <v>0</v>
      </c>
      <c r="N705">
        <f t="shared" si="32"/>
        <v>0</v>
      </c>
    </row>
    <row r="706" spans="1:14">
      <c r="A706">
        <v>7474</v>
      </c>
      <c r="B706" t="s">
        <v>1113</v>
      </c>
      <c r="C706" t="s">
        <v>755</v>
      </c>
      <c r="D706" t="s">
        <v>832</v>
      </c>
      <c r="E706">
        <v>82569</v>
      </c>
      <c r="G706" s="2">
        <v>0.48958333333333331</v>
      </c>
      <c r="H706" s="2">
        <v>0.54236111111111118</v>
      </c>
      <c r="J706">
        <v>1.18533761308607</v>
      </c>
      <c r="K706" t="s">
        <v>767</v>
      </c>
      <c r="L706" t="str">
        <f t="shared" ref="L706:L769" si="33">RIGHT(LEFT(K706,4),2)</f>
        <v>37</v>
      </c>
      <c r="M706">
        <f t="shared" ref="M706:M769" si="34">IF(I706=0,0,I706-H706)+IF(F706=0,0,G706-F706)</f>
        <v>0</v>
      </c>
      <c r="N706">
        <f t="shared" ref="N706:N769" si="35">(M706-INT(M706))*24</f>
        <v>0</v>
      </c>
    </row>
    <row r="707" spans="1:14">
      <c r="A707">
        <v>4008</v>
      </c>
      <c r="B707" t="s">
        <v>1114</v>
      </c>
      <c r="C707" t="s">
        <v>756</v>
      </c>
      <c r="E707">
        <v>903883</v>
      </c>
      <c r="G707" s="2">
        <v>0.46180555555555558</v>
      </c>
      <c r="H707" s="2">
        <v>0.48680555555555555</v>
      </c>
      <c r="J707">
        <v>0.56305842201562095</v>
      </c>
      <c r="K707" t="s">
        <v>816</v>
      </c>
      <c r="L707" t="str">
        <f t="shared" si="33"/>
        <v>46</v>
      </c>
      <c r="M707">
        <f t="shared" si="34"/>
        <v>0</v>
      </c>
      <c r="N707">
        <f t="shared" si="35"/>
        <v>0</v>
      </c>
    </row>
    <row r="708" spans="1:14">
      <c r="A708">
        <v>4008</v>
      </c>
      <c r="B708" t="s">
        <v>1114</v>
      </c>
      <c r="C708" t="s">
        <v>756</v>
      </c>
      <c r="E708">
        <v>903883</v>
      </c>
      <c r="G708" s="2">
        <v>0.48680555555555555</v>
      </c>
      <c r="H708" s="2">
        <v>0.55000000000000004</v>
      </c>
      <c r="J708">
        <v>1.4232865667617101</v>
      </c>
      <c r="K708" t="s">
        <v>815</v>
      </c>
      <c r="L708" t="str">
        <f t="shared" si="33"/>
        <v>46</v>
      </c>
      <c r="M708">
        <f t="shared" si="34"/>
        <v>0</v>
      </c>
      <c r="N708">
        <f t="shared" si="35"/>
        <v>0</v>
      </c>
    </row>
    <row r="709" spans="1:14">
      <c r="A709">
        <v>4008</v>
      </c>
      <c r="B709" t="s">
        <v>1114</v>
      </c>
      <c r="C709" t="s">
        <v>756</v>
      </c>
      <c r="E709">
        <v>903883</v>
      </c>
      <c r="G709" s="2">
        <v>0.55000000000000004</v>
      </c>
      <c r="H709" s="2">
        <v>0.55902777777777779</v>
      </c>
      <c r="J709">
        <v>0.20332665239452999</v>
      </c>
      <c r="K709" t="s">
        <v>817</v>
      </c>
      <c r="L709" t="str">
        <f t="shared" si="33"/>
        <v>46</v>
      </c>
      <c r="M709">
        <f t="shared" si="34"/>
        <v>0</v>
      </c>
      <c r="N709">
        <f t="shared" si="35"/>
        <v>0</v>
      </c>
    </row>
    <row r="710" spans="1:14">
      <c r="A710">
        <v>4008</v>
      </c>
      <c r="B710" t="s">
        <v>1114</v>
      </c>
      <c r="C710" t="s">
        <v>756</v>
      </c>
      <c r="E710">
        <v>903883</v>
      </c>
      <c r="G710" s="2">
        <v>0.55902777777777779</v>
      </c>
      <c r="H710" s="2">
        <v>0.7583333333333333</v>
      </c>
      <c r="J710">
        <v>4.4888268644023004</v>
      </c>
      <c r="K710" t="s">
        <v>815</v>
      </c>
      <c r="L710" t="str">
        <f t="shared" si="33"/>
        <v>46</v>
      </c>
      <c r="M710">
        <f t="shared" si="34"/>
        <v>0</v>
      </c>
      <c r="N710">
        <f t="shared" si="35"/>
        <v>0</v>
      </c>
    </row>
    <row r="711" spans="1:14">
      <c r="A711">
        <v>4008</v>
      </c>
      <c r="B711" t="s">
        <v>1114</v>
      </c>
      <c r="C711" t="s">
        <v>756</v>
      </c>
      <c r="E711">
        <v>903883</v>
      </c>
      <c r="G711" s="2">
        <v>0.7583333333333333</v>
      </c>
      <c r="H711" s="2">
        <v>0.76597222222222217</v>
      </c>
      <c r="J711">
        <v>0.17204562894921699</v>
      </c>
      <c r="K711" t="s">
        <v>816</v>
      </c>
      <c r="L711" t="str">
        <f t="shared" si="33"/>
        <v>46</v>
      </c>
      <c r="M711">
        <f t="shared" si="34"/>
        <v>0</v>
      </c>
      <c r="N711">
        <f t="shared" si="35"/>
        <v>0</v>
      </c>
    </row>
    <row r="712" spans="1:14">
      <c r="A712">
        <v>4008</v>
      </c>
      <c r="B712" t="s">
        <v>1114</v>
      </c>
      <c r="C712" t="s">
        <v>756</v>
      </c>
      <c r="E712">
        <v>903883</v>
      </c>
      <c r="G712" s="2">
        <v>0.76597222222222217</v>
      </c>
      <c r="H712" s="2">
        <v>0.79166666666666663</v>
      </c>
      <c r="J712">
        <v>0.57869893373827697</v>
      </c>
      <c r="K712" t="s">
        <v>778</v>
      </c>
      <c r="L712" t="str">
        <f t="shared" si="33"/>
        <v>37</v>
      </c>
      <c r="M712">
        <f t="shared" si="34"/>
        <v>0</v>
      </c>
      <c r="N712">
        <f t="shared" si="35"/>
        <v>0</v>
      </c>
    </row>
    <row r="713" spans="1:14">
      <c r="A713">
        <v>4049</v>
      </c>
      <c r="B713" t="s">
        <v>923</v>
      </c>
      <c r="C713" t="s">
        <v>756</v>
      </c>
      <c r="E713">
        <v>906270</v>
      </c>
      <c r="G713" s="2">
        <v>0.46388888888888885</v>
      </c>
      <c r="H713" s="2">
        <v>0.47430555555555554</v>
      </c>
      <c r="J713">
        <v>0.23451106659788001</v>
      </c>
      <c r="K713" t="s">
        <v>877</v>
      </c>
      <c r="L713" t="str">
        <f t="shared" si="33"/>
        <v>46</v>
      </c>
      <c r="M713">
        <f t="shared" si="34"/>
        <v>0</v>
      </c>
      <c r="N713">
        <f t="shared" si="35"/>
        <v>0</v>
      </c>
    </row>
    <row r="714" spans="1:14">
      <c r="A714">
        <v>4049</v>
      </c>
      <c r="B714" t="s">
        <v>923</v>
      </c>
      <c r="C714" t="s">
        <v>756</v>
      </c>
      <c r="E714">
        <v>906270</v>
      </c>
      <c r="G714" s="2">
        <v>0.47430555555555554</v>
      </c>
      <c r="H714" s="2">
        <v>0.49236111111111108</v>
      </c>
      <c r="J714">
        <v>0.40648584876965799</v>
      </c>
      <c r="K714" t="s">
        <v>817</v>
      </c>
      <c r="L714" t="str">
        <f t="shared" si="33"/>
        <v>46</v>
      </c>
      <c r="M714">
        <f t="shared" si="34"/>
        <v>0</v>
      </c>
      <c r="N714">
        <f t="shared" si="35"/>
        <v>0</v>
      </c>
    </row>
    <row r="715" spans="1:14">
      <c r="A715">
        <v>4049</v>
      </c>
      <c r="B715" t="s">
        <v>923</v>
      </c>
      <c r="C715" t="s">
        <v>756</v>
      </c>
      <c r="E715">
        <v>906270</v>
      </c>
      <c r="G715" s="2">
        <v>0.49236111111111108</v>
      </c>
      <c r="H715" s="2">
        <v>0.49583333333333335</v>
      </c>
      <c r="J715">
        <v>7.8170355532626704E-2</v>
      </c>
      <c r="K715" t="s">
        <v>877</v>
      </c>
      <c r="L715" t="str">
        <f t="shared" si="33"/>
        <v>46</v>
      </c>
      <c r="M715">
        <f t="shared" si="34"/>
        <v>0</v>
      </c>
      <c r="N715">
        <f t="shared" si="35"/>
        <v>0</v>
      </c>
    </row>
    <row r="716" spans="1:14">
      <c r="A716">
        <v>4049</v>
      </c>
      <c r="B716" t="s">
        <v>923</v>
      </c>
      <c r="C716" t="s">
        <v>756</v>
      </c>
      <c r="E716">
        <v>906270</v>
      </c>
      <c r="G716" s="2">
        <v>0.49583333333333335</v>
      </c>
      <c r="H716" s="2">
        <v>0.56319444444444444</v>
      </c>
      <c r="J716">
        <v>1.51650489733296</v>
      </c>
      <c r="K716" t="s">
        <v>817</v>
      </c>
      <c r="L716" t="str">
        <f t="shared" si="33"/>
        <v>46</v>
      </c>
      <c r="M716">
        <f t="shared" si="34"/>
        <v>0</v>
      </c>
      <c r="N716">
        <f t="shared" si="35"/>
        <v>0</v>
      </c>
    </row>
    <row r="717" spans="1:14">
      <c r="A717">
        <v>4049</v>
      </c>
      <c r="B717" t="s">
        <v>923</v>
      </c>
      <c r="C717" t="s">
        <v>756</v>
      </c>
      <c r="E717">
        <v>906270</v>
      </c>
      <c r="G717" s="2">
        <v>0.56319444444444444</v>
      </c>
      <c r="H717" s="2">
        <v>0.56736111111111109</v>
      </c>
      <c r="J717">
        <v>9.3804426639152103E-2</v>
      </c>
      <c r="K717" t="s">
        <v>877</v>
      </c>
      <c r="L717" t="str">
        <f t="shared" si="33"/>
        <v>46</v>
      </c>
      <c r="M717">
        <f t="shared" si="34"/>
        <v>0</v>
      </c>
      <c r="N717">
        <f t="shared" si="35"/>
        <v>0</v>
      </c>
    </row>
    <row r="718" spans="1:14">
      <c r="A718">
        <v>4049</v>
      </c>
      <c r="B718" t="s">
        <v>923</v>
      </c>
      <c r="C718" t="s">
        <v>756</v>
      </c>
      <c r="E718">
        <v>906270</v>
      </c>
      <c r="G718" s="2">
        <v>0.56736111111111109</v>
      </c>
      <c r="H718" s="2">
        <v>0.76180555555555562</v>
      </c>
      <c r="J718">
        <v>4.3775399098271004</v>
      </c>
      <c r="K718" t="s">
        <v>817</v>
      </c>
      <c r="L718" t="str">
        <f t="shared" si="33"/>
        <v>46</v>
      </c>
      <c r="M718">
        <f t="shared" si="34"/>
        <v>0</v>
      </c>
      <c r="N718">
        <f t="shared" si="35"/>
        <v>0</v>
      </c>
    </row>
    <row r="719" spans="1:14">
      <c r="A719">
        <v>4049</v>
      </c>
      <c r="B719" t="s">
        <v>923</v>
      </c>
      <c r="C719" t="s">
        <v>756</v>
      </c>
      <c r="E719">
        <v>906270</v>
      </c>
      <c r="G719" s="2">
        <v>0.76180555555555562</v>
      </c>
      <c r="H719" s="2">
        <v>0.79166666666666663</v>
      </c>
      <c r="J719">
        <v>0.67226505758058996</v>
      </c>
      <c r="K719" t="s">
        <v>778</v>
      </c>
      <c r="L719" t="str">
        <f t="shared" si="33"/>
        <v>37</v>
      </c>
      <c r="M719">
        <f t="shared" si="34"/>
        <v>0</v>
      </c>
      <c r="N719">
        <f t="shared" si="35"/>
        <v>0</v>
      </c>
    </row>
    <row r="720" spans="1:14">
      <c r="A720">
        <v>7374</v>
      </c>
      <c r="B720" t="s">
        <v>1223</v>
      </c>
      <c r="C720" t="s">
        <v>754</v>
      </c>
      <c r="D720" t="s">
        <v>835</v>
      </c>
      <c r="E720">
        <v>38315</v>
      </c>
      <c r="G720" s="2">
        <v>0.12291666666666667</v>
      </c>
      <c r="H720" s="2">
        <v>0.54166666666666663</v>
      </c>
      <c r="J720">
        <v>9.5</v>
      </c>
      <c r="K720" t="s">
        <v>1224</v>
      </c>
      <c r="L720" t="str">
        <f t="shared" si="33"/>
        <v>33</v>
      </c>
      <c r="M720">
        <f t="shared" si="34"/>
        <v>0</v>
      </c>
      <c r="N720">
        <f t="shared" si="35"/>
        <v>0</v>
      </c>
    </row>
    <row r="721" spans="1:14">
      <c r="A721">
        <v>7097</v>
      </c>
      <c r="B721" t="s">
        <v>924</v>
      </c>
      <c r="C721" t="s">
        <v>754</v>
      </c>
      <c r="D721" t="s">
        <v>777</v>
      </c>
      <c r="E721">
        <v>226779</v>
      </c>
      <c r="G721" s="2">
        <v>0.12569444444444444</v>
      </c>
      <c r="H721" s="2">
        <v>0.37916666666666665</v>
      </c>
      <c r="J721">
        <v>5.6991851139850302</v>
      </c>
      <c r="K721" t="s">
        <v>925</v>
      </c>
      <c r="L721" t="str">
        <f t="shared" si="33"/>
        <v>46</v>
      </c>
      <c r="M721">
        <f t="shared" si="34"/>
        <v>0</v>
      </c>
      <c r="N721">
        <f t="shared" si="35"/>
        <v>0</v>
      </c>
    </row>
    <row r="722" spans="1:14">
      <c r="A722">
        <v>7097</v>
      </c>
      <c r="B722" t="s">
        <v>924</v>
      </c>
      <c r="C722" t="s">
        <v>754</v>
      </c>
      <c r="D722" t="s">
        <v>777</v>
      </c>
      <c r="E722">
        <v>226779</v>
      </c>
      <c r="G722" s="2">
        <v>0.37916666666666665</v>
      </c>
      <c r="H722" s="2">
        <v>0.45833333333333331</v>
      </c>
      <c r="J722">
        <v>1.7800194602583399</v>
      </c>
      <c r="K722" t="s">
        <v>999</v>
      </c>
      <c r="L722" t="str">
        <f t="shared" si="33"/>
        <v>46</v>
      </c>
      <c r="M722">
        <f t="shared" si="34"/>
        <v>0</v>
      </c>
      <c r="N722">
        <f t="shared" si="35"/>
        <v>0</v>
      </c>
    </row>
    <row r="723" spans="1:14">
      <c r="A723">
        <v>4127</v>
      </c>
      <c r="B723" t="s">
        <v>1225</v>
      </c>
      <c r="C723" t="s">
        <v>756</v>
      </c>
      <c r="E723">
        <v>918737</v>
      </c>
      <c r="G723" s="2">
        <v>0.48749999999999999</v>
      </c>
      <c r="H723" s="2">
        <v>0.78541666666666676</v>
      </c>
      <c r="J723">
        <v>6.68801135350681</v>
      </c>
      <c r="K723" t="s">
        <v>816</v>
      </c>
      <c r="L723" t="str">
        <f t="shared" si="33"/>
        <v>46</v>
      </c>
      <c r="M723">
        <f t="shared" si="34"/>
        <v>0</v>
      </c>
      <c r="N723">
        <f t="shared" si="35"/>
        <v>0</v>
      </c>
    </row>
    <row r="724" spans="1:14">
      <c r="A724">
        <v>4127</v>
      </c>
      <c r="B724" t="s">
        <v>1225</v>
      </c>
      <c r="C724" t="s">
        <v>756</v>
      </c>
      <c r="E724">
        <v>918737</v>
      </c>
      <c r="G724" s="2">
        <v>0.78541666666666676</v>
      </c>
      <c r="H724" s="2">
        <v>0.8125</v>
      </c>
      <c r="J724">
        <v>0.60800103213698298</v>
      </c>
      <c r="K724" t="s">
        <v>778</v>
      </c>
      <c r="L724" t="str">
        <f t="shared" si="33"/>
        <v>37</v>
      </c>
      <c r="M724">
        <f t="shared" si="34"/>
        <v>0</v>
      </c>
      <c r="N724">
        <f t="shared" si="35"/>
        <v>0</v>
      </c>
    </row>
    <row r="725" spans="1:14">
      <c r="A725">
        <v>4028</v>
      </c>
      <c r="B725" t="s">
        <v>1115</v>
      </c>
      <c r="C725" t="s">
        <v>756</v>
      </c>
      <c r="E725">
        <v>904800</v>
      </c>
      <c r="G725" s="2">
        <v>0.47083333333333338</v>
      </c>
      <c r="H725" s="2">
        <v>0.60972222222222217</v>
      </c>
      <c r="J725">
        <v>3.30033333333333</v>
      </c>
      <c r="K725" t="s">
        <v>815</v>
      </c>
      <c r="L725" t="str">
        <f t="shared" si="33"/>
        <v>46</v>
      </c>
      <c r="M725">
        <f t="shared" si="34"/>
        <v>0</v>
      </c>
      <c r="N725">
        <f t="shared" si="35"/>
        <v>0</v>
      </c>
    </row>
    <row r="726" spans="1:14">
      <c r="A726">
        <v>7250</v>
      </c>
      <c r="B726" t="s">
        <v>926</v>
      </c>
      <c r="C726" t="s">
        <v>755</v>
      </c>
      <c r="D726">
        <v>65</v>
      </c>
      <c r="E726">
        <v>641833</v>
      </c>
      <c r="G726" s="2">
        <v>0.21944444444444444</v>
      </c>
      <c r="H726" s="2">
        <v>0.62708333333333333</v>
      </c>
      <c r="J726">
        <v>9.27781878958465</v>
      </c>
      <c r="K726" t="s">
        <v>891</v>
      </c>
      <c r="L726" t="str">
        <f t="shared" si="33"/>
        <v>65</v>
      </c>
      <c r="M726">
        <f t="shared" si="34"/>
        <v>0</v>
      </c>
      <c r="N726">
        <f t="shared" si="35"/>
        <v>0</v>
      </c>
    </row>
    <row r="727" spans="1:14">
      <c r="A727">
        <v>7493</v>
      </c>
      <c r="B727" t="s">
        <v>1226</v>
      </c>
      <c r="C727" t="s">
        <v>755</v>
      </c>
      <c r="D727" t="s">
        <v>823</v>
      </c>
      <c r="E727">
        <v>84703</v>
      </c>
      <c r="G727" s="2">
        <v>0.64930555555555558</v>
      </c>
      <c r="H727" s="2">
        <v>0.76180555555555562</v>
      </c>
      <c r="J727">
        <v>2.5337628990702901</v>
      </c>
      <c r="K727" t="s">
        <v>778</v>
      </c>
      <c r="L727" t="str">
        <f t="shared" si="33"/>
        <v>37</v>
      </c>
      <c r="M727">
        <f t="shared" si="34"/>
        <v>0</v>
      </c>
      <c r="N727">
        <f t="shared" si="35"/>
        <v>0</v>
      </c>
    </row>
    <row r="728" spans="1:14">
      <c r="A728">
        <v>7493</v>
      </c>
      <c r="B728" t="s">
        <v>1226</v>
      </c>
      <c r="C728" t="s">
        <v>755</v>
      </c>
      <c r="D728" t="s">
        <v>823</v>
      </c>
      <c r="E728">
        <v>84703</v>
      </c>
      <c r="G728" s="2">
        <v>0.76180555555555562</v>
      </c>
      <c r="H728" s="2">
        <v>0.97916666666666663</v>
      </c>
      <c r="J728">
        <v>4.8954801691913703</v>
      </c>
      <c r="K728" t="s">
        <v>871</v>
      </c>
      <c r="L728" t="str">
        <f t="shared" si="33"/>
        <v>37</v>
      </c>
      <c r="M728">
        <f t="shared" si="34"/>
        <v>0</v>
      </c>
      <c r="N728">
        <f t="shared" si="35"/>
        <v>0</v>
      </c>
    </row>
    <row r="729" spans="1:14">
      <c r="A729">
        <v>8021</v>
      </c>
      <c r="B729" t="s">
        <v>927</v>
      </c>
      <c r="C729" t="s">
        <v>754</v>
      </c>
      <c r="D729" t="s">
        <v>775</v>
      </c>
      <c r="E729">
        <v>907</v>
      </c>
      <c r="G729" s="2">
        <v>0.33333333333333331</v>
      </c>
      <c r="H729" s="2">
        <v>0.6875</v>
      </c>
      <c r="J729">
        <v>8</v>
      </c>
      <c r="K729" t="s">
        <v>928</v>
      </c>
      <c r="L729" t="str">
        <f t="shared" si="33"/>
        <v>65</v>
      </c>
      <c r="M729">
        <f t="shared" si="34"/>
        <v>0</v>
      </c>
      <c r="N729">
        <f t="shared" si="35"/>
        <v>0</v>
      </c>
    </row>
    <row r="730" spans="1:14">
      <c r="A730">
        <v>7122</v>
      </c>
      <c r="B730" t="s">
        <v>929</v>
      </c>
      <c r="C730" t="s">
        <v>754</v>
      </c>
      <c r="D730" t="s">
        <v>823</v>
      </c>
      <c r="E730">
        <v>19548</v>
      </c>
      <c r="G730" s="2">
        <v>0.58402777777777781</v>
      </c>
      <c r="H730" s="2">
        <v>0.58680555555555558</v>
      </c>
      <c r="J730">
        <v>6.6629523751806294E-2</v>
      </c>
      <c r="K730" t="s">
        <v>951</v>
      </c>
      <c r="L730" t="str">
        <f t="shared" si="33"/>
        <v>37</v>
      </c>
      <c r="M730">
        <f t="shared" si="34"/>
        <v>0</v>
      </c>
      <c r="N730">
        <f t="shared" si="35"/>
        <v>0</v>
      </c>
    </row>
    <row r="731" spans="1:14">
      <c r="A731">
        <v>7122</v>
      </c>
      <c r="B731" t="s">
        <v>929</v>
      </c>
      <c r="C731" t="s">
        <v>754</v>
      </c>
      <c r="D731" t="s">
        <v>823</v>
      </c>
      <c r="E731">
        <v>19548</v>
      </c>
      <c r="G731" s="2">
        <v>0.58680555555555558</v>
      </c>
      <c r="H731" s="2">
        <v>0.625</v>
      </c>
      <c r="J731">
        <v>0.91615595158733498</v>
      </c>
      <c r="K731" t="s">
        <v>821</v>
      </c>
      <c r="L731" t="str">
        <f t="shared" si="33"/>
        <v>33</v>
      </c>
      <c r="M731">
        <f t="shared" si="34"/>
        <v>0</v>
      </c>
      <c r="N731">
        <f t="shared" si="35"/>
        <v>0</v>
      </c>
    </row>
    <row r="732" spans="1:14">
      <c r="A732">
        <v>7122</v>
      </c>
      <c r="B732" t="s">
        <v>929</v>
      </c>
      <c r="C732" t="s">
        <v>754</v>
      </c>
      <c r="D732" t="s">
        <v>823</v>
      </c>
      <c r="E732">
        <v>19548</v>
      </c>
      <c r="G732" s="2">
        <v>0.625</v>
      </c>
      <c r="H732" s="2">
        <v>0.89166666666666661</v>
      </c>
      <c r="J732">
        <v>6.3964342801734002</v>
      </c>
      <c r="K732" t="s">
        <v>819</v>
      </c>
      <c r="L732" t="str">
        <f t="shared" si="33"/>
        <v>33</v>
      </c>
      <c r="M732">
        <f t="shared" si="34"/>
        <v>0</v>
      </c>
      <c r="N732">
        <f t="shared" si="35"/>
        <v>0</v>
      </c>
    </row>
    <row r="733" spans="1:14">
      <c r="A733">
        <v>7122</v>
      </c>
      <c r="B733" t="s">
        <v>929</v>
      </c>
      <c r="C733" t="s">
        <v>754</v>
      </c>
      <c r="D733" t="s">
        <v>823</v>
      </c>
      <c r="E733">
        <v>19548</v>
      </c>
      <c r="G733" s="2">
        <v>0.89166666666666661</v>
      </c>
      <c r="H733" s="2">
        <v>0.97916666666666663</v>
      </c>
      <c r="J733">
        <v>2.0988299981818899</v>
      </c>
      <c r="K733" t="s">
        <v>772</v>
      </c>
      <c r="L733" t="str">
        <f t="shared" si="33"/>
        <v>33</v>
      </c>
      <c r="M733">
        <f t="shared" si="34"/>
        <v>0</v>
      </c>
      <c r="N733">
        <f t="shared" si="35"/>
        <v>0</v>
      </c>
    </row>
    <row r="734" spans="1:14">
      <c r="A734">
        <v>8029</v>
      </c>
      <c r="B734" t="s">
        <v>931</v>
      </c>
      <c r="C734" t="s">
        <v>754</v>
      </c>
      <c r="D734" t="s">
        <v>775</v>
      </c>
      <c r="E734">
        <v>547721</v>
      </c>
      <c r="G734" s="2">
        <v>0.20833333333333334</v>
      </c>
      <c r="H734" s="2">
        <v>0.5625</v>
      </c>
      <c r="J734">
        <v>8</v>
      </c>
      <c r="K734" t="s">
        <v>776</v>
      </c>
      <c r="L734" t="str">
        <f t="shared" si="33"/>
        <v>37</v>
      </c>
      <c r="M734">
        <f t="shared" si="34"/>
        <v>0</v>
      </c>
      <c r="N734">
        <f t="shared" si="35"/>
        <v>0</v>
      </c>
    </row>
    <row r="735" spans="1:14">
      <c r="A735">
        <v>7802</v>
      </c>
      <c r="B735" t="s">
        <v>932</v>
      </c>
      <c r="C735" t="s">
        <v>755</v>
      </c>
      <c r="D735" t="s">
        <v>757</v>
      </c>
      <c r="E735">
        <v>440616</v>
      </c>
      <c r="G735" s="2">
        <v>0.21111111111111111</v>
      </c>
      <c r="H735" s="2">
        <v>0.5625</v>
      </c>
      <c r="J735">
        <v>7.9288581280786898</v>
      </c>
      <c r="K735" t="s">
        <v>773</v>
      </c>
      <c r="L735" t="str">
        <f t="shared" si="33"/>
        <v>33</v>
      </c>
      <c r="M735">
        <f t="shared" si="34"/>
        <v>0</v>
      </c>
      <c r="N735">
        <f t="shared" si="35"/>
        <v>0</v>
      </c>
    </row>
    <row r="736" spans="1:14">
      <c r="A736">
        <v>7666</v>
      </c>
      <c r="B736" t="s">
        <v>1227</v>
      </c>
      <c r="C736" t="s">
        <v>754</v>
      </c>
      <c r="D736" t="s">
        <v>852</v>
      </c>
      <c r="E736">
        <v>351016</v>
      </c>
      <c r="G736" s="2">
        <v>6.3194444444444442E-2</v>
      </c>
      <c r="H736" s="2">
        <v>6.6666666666666666E-2</v>
      </c>
      <c r="J736">
        <v>7.91123941027667E-2</v>
      </c>
      <c r="K736" t="s">
        <v>798</v>
      </c>
      <c r="L736" t="str">
        <f t="shared" si="33"/>
        <v>33</v>
      </c>
      <c r="M736">
        <f t="shared" si="34"/>
        <v>0</v>
      </c>
      <c r="N736">
        <f t="shared" si="35"/>
        <v>0</v>
      </c>
    </row>
    <row r="737" spans="1:14">
      <c r="A737">
        <v>7666</v>
      </c>
      <c r="B737" t="s">
        <v>1227</v>
      </c>
      <c r="C737" t="s">
        <v>754</v>
      </c>
      <c r="D737" t="s">
        <v>852</v>
      </c>
      <c r="E737">
        <v>351016</v>
      </c>
      <c r="G737" s="2">
        <v>6.6666666666666666E-2</v>
      </c>
      <c r="H737" s="2">
        <v>0.1361111111111111</v>
      </c>
      <c r="J737">
        <v>1.5822478820553301</v>
      </c>
      <c r="K737" t="s">
        <v>799</v>
      </c>
      <c r="L737" t="str">
        <f t="shared" si="33"/>
        <v>33</v>
      </c>
      <c r="M737">
        <f t="shared" si="34"/>
        <v>0</v>
      </c>
      <c r="N737">
        <f t="shared" si="35"/>
        <v>0</v>
      </c>
    </row>
    <row r="738" spans="1:14">
      <c r="A738">
        <v>7666</v>
      </c>
      <c r="B738" t="s">
        <v>1227</v>
      </c>
      <c r="C738" t="s">
        <v>754</v>
      </c>
      <c r="D738" t="s">
        <v>852</v>
      </c>
      <c r="E738">
        <v>351016</v>
      </c>
      <c r="G738" s="2">
        <v>0.1361111111111111</v>
      </c>
      <c r="H738" s="2">
        <v>0.3833333333333333</v>
      </c>
      <c r="J738">
        <v>5.6328024601169897</v>
      </c>
      <c r="K738" t="s">
        <v>831</v>
      </c>
      <c r="L738" t="str">
        <f t="shared" si="33"/>
        <v>33</v>
      </c>
      <c r="M738">
        <f t="shared" si="34"/>
        <v>0</v>
      </c>
      <c r="N738">
        <f t="shared" si="35"/>
        <v>0</v>
      </c>
    </row>
    <row r="739" spans="1:14">
      <c r="A739">
        <v>7666</v>
      </c>
      <c r="B739" t="s">
        <v>1227</v>
      </c>
      <c r="C739" t="s">
        <v>754</v>
      </c>
      <c r="D739" t="s">
        <v>852</v>
      </c>
      <c r="E739">
        <v>351016</v>
      </c>
      <c r="G739" s="2">
        <v>0.3833333333333333</v>
      </c>
      <c r="H739" s="2">
        <v>0.47916666666666669</v>
      </c>
      <c r="J739">
        <v>2.1835020772363598</v>
      </c>
      <c r="K739" t="s">
        <v>759</v>
      </c>
      <c r="L739" t="str">
        <f t="shared" si="33"/>
        <v>33</v>
      </c>
      <c r="M739">
        <f t="shared" si="34"/>
        <v>0</v>
      </c>
      <c r="N739">
        <f t="shared" si="35"/>
        <v>0</v>
      </c>
    </row>
    <row r="740" spans="1:14">
      <c r="A740">
        <v>4120</v>
      </c>
      <c r="B740" t="s">
        <v>1228</v>
      </c>
      <c r="C740" t="s">
        <v>756</v>
      </c>
      <c r="E740">
        <v>918744</v>
      </c>
      <c r="G740" s="2">
        <v>0.22500000000000001</v>
      </c>
      <c r="H740" s="2">
        <v>0.5541666666666667</v>
      </c>
      <c r="J740">
        <v>7.39593539760721</v>
      </c>
      <c r="K740" t="s">
        <v>778</v>
      </c>
      <c r="L740" t="str">
        <f t="shared" si="33"/>
        <v>37</v>
      </c>
      <c r="M740">
        <f t="shared" si="34"/>
        <v>0</v>
      </c>
      <c r="N740">
        <f t="shared" si="35"/>
        <v>0</v>
      </c>
    </row>
    <row r="741" spans="1:14">
      <c r="A741">
        <v>4207</v>
      </c>
      <c r="B741" t="s">
        <v>1229</v>
      </c>
      <c r="C741" t="s">
        <v>756</v>
      </c>
      <c r="E741">
        <v>4207</v>
      </c>
      <c r="G741" s="2">
        <v>0.22500000000000001</v>
      </c>
      <c r="H741" s="2">
        <v>0.55277777777777781</v>
      </c>
      <c r="J741">
        <v>7.3792815622799699</v>
      </c>
      <c r="K741" t="s">
        <v>778</v>
      </c>
      <c r="L741" t="str">
        <f t="shared" si="33"/>
        <v>37</v>
      </c>
      <c r="M741">
        <f t="shared" si="34"/>
        <v>0</v>
      </c>
      <c r="N741">
        <f t="shared" si="35"/>
        <v>0</v>
      </c>
    </row>
    <row r="742" spans="1:14">
      <c r="A742">
        <v>7245</v>
      </c>
      <c r="B742" t="s">
        <v>1116</v>
      </c>
      <c r="C742" t="s">
        <v>756</v>
      </c>
      <c r="E742">
        <v>917772</v>
      </c>
      <c r="G742" s="2">
        <v>0.22152777777777777</v>
      </c>
      <c r="H742" s="2">
        <v>0.4909722222222222</v>
      </c>
      <c r="J742">
        <v>6.0557695598435499</v>
      </c>
      <c r="K742" t="s">
        <v>778</v>
      </c>
      <c r="L742" t="str">
        <f t="shared" si="33"/>
        <v>37</v>
      </c>
      <c r="M742">
        <f t="shared" si="34"/>
        <v>0</v>
      </c>
      <c r="N742">
        <f t="shared" si="35"/>
        <v>0</v>
      </c>
    </row>
    <row r="743" spans="1:14">
      <c r="A743">
        <v>7245</v>
      </c>
      <c r="B743" t="s">
        <v>1116</v>
      </c>
      <c r="C743" t="s">
        <v>756</v>
      </c>
      <c r="E743">
        <v>917772</v>
      </c>
      <c r="G743" s="2">
        <v>0.4909722222222222</v>
      </c>
      <c r="H743" s="2">
        <v>0.55208333333333337</v>
      </c>
      <c r="J743">
        <v>1.37347350841812</v>
      </c>
      <c r="K743" t="s">
        <v>816</v>
      </c>
      <c r="L743" t="str">
        <f t="shared" si="33"/>
        <v>46</v>
      </c>
      <c r="M743">
        <f t="shared" si="34"/>
        <v>0</v>
      </c>
      <c r="N743">
        <f t="shared" si="35"/>
        <v>0</v>
      </c>
    </row>
    <row r="744" spans="1:14">
      <c r="A744">
        <v>7698</v>
      </c>
      <c r="B744" t="s">
        <v>934</v>
      </c>
      <c r="C744" t="s">
        <v>754</v>
      </c>
      <c r="D744" t="s">
        <v>935</v>
      </c>
      <c r="E744">
        <v>220932</v>
      </c>
      <c r="G744" s="2">
        <v>0.2986111111111111</v>
      </c>
      <c r="H744" s="2">
        <v>0.41249999999999998</v>
      </c>
      <c r="J744">
        <v>2.5574648707083298</v>
      </c>
      <c r="K744" t="s">
        <v>778</v>
      </c>
      <c r="L744" t="str">
        <f t="shared" si="33"/>
        <v>37</v>
      </c>
      <c r="M744">
        <f t="shared" si="34"/>
        <v>0</v>
      </c>
      <c r="N744">
        <f t="shared" si="35"/>
        <v>0</v>
      </c>
    </row>
    <row r="745" spans="1:14">
      <c r="A745">
        <v>7698</v>
      </c>
      <c r="B745" t="s">
        <v>934</v>
      </c>
      <c r="C745" t="s">
        <v>754</v>
      </c>
      <c r="D745" t="s">
        <v>935</v>
      </c>
      <c r="E745">
        <v>220932</v>
      </c>
      <c r="G745" s="2">
        <v>0.41249999999999998</v>
      </c>
      <c r="H745" s="2">
        <v>0.4152777777777778</v>
      </c>
      <c r="J745">
        <v>6.23771919684959E-2</v>
      </c>
      <c r="K745" t="s">
        <v>790</v>
      </c>
      <c r="L745" t="str">
        <f t="shared" si="33"/>
        <v>46</v>
      </c>
      <c r="M745">
        <f t="shared" si="34"/>
        <v>0</v>
      </c>
      <c r="N745">
        <f t="shared" si="35"/>
        <v>0</v>
      </c>
    </row>
    <row r="746" spans="1:14">
      <c r="A746">
        <v>7698</v>
      </c>
      <c r="B746" t="s">
        <v>934</v>
      </c>
      <c r="C746" t="s">
        <v>754</v>
      </c>
      <c r="D746" t="s">
        <v>935</v>
      </c>
      <c r="E746">
        <v>220932</v>
      </c>
      <c r="G746" s="2">
        <v>0.4152777777777778</v>
      </c>
      <c r="H746" s="2">
        <v>0.46250000000000002</v>
      </c>
      <c r="J746">
        <v>1.06041226346442</v>
      </c>
      <c r="K746" t="s">
        <v>768</v>
      </c>
      <c r="L746" t="str">
        <f t="shared" si="33"/>
        <v>46</v>
      </c>
      <c r="M746">
        <f t="shared" si="34"/>
        <v>0</v>
      </c>
      <c r="N746">
        <f t="shared" si="35"/>
        <v>0</v>
      </c>
    </row>
    <row r="747" spans="1:14">
      <c r="A747">
        <v>7698</v>
      </c>
      <c r="B747" t="s">
        <v>934</v>
      </c>
      <c r="C747" t="s">
        <v>754</v>
      </c>
      <c r="D747" t="s">
        <v>935</v>
      </c>
      <c r="E747">
        <v>220932</v>
      </c>
      <c r="G747" s="2">
        <v>0.46250000000000002</v>
      </c>
      <c r="H747" s="2">
        <v>0.4694444444444445</v>
      </c>
      <c r="J747">
        <v>0.15594297992124001</v>
      </c>
      <c r="K747" t="s">
        <v>767</v>
      </c>
      <c r="L747" t="str">
        <f t="shared" si="33"/>
        <v>37</v>
      </c>
      <c r="M747">
        <f t="shared" si="34"/>
        <v>0</v>
      </c>
      <c r="N747">
        <f t="shared" si="35"/>
        <v>0</v>
      </c>
    </row>
    <row r="748" spans="1:14">
      <c r="A748">
        <v>7698</v>
      </c>
      <c r="B748" t="s">
        <v>934</v>
      </c>
      <c r="C748" t="s">
        <v>754</v>
      </c>
      <c r="D748" t="s">
        <v>935</v>
      </c>
      <c r="E748">
        <v>220932</v>
      </c>
      <c r="G748" s="2">
        <v>0.4694444444444445</v>
      </c>
      <c r="H748" s="2">
        <v>0.52152777777777781</v>
      </c>
      <c r="J748">
        <v>1.16957234940929</v>
      </c>
      <c r="K748" t="s">
        <v>790</v>
      </c>
      <c r="L748" t="str">
        <f t="shared" si="33"/>
        <v>46</v>
      </c>
      <c r="M748">
        <f t="shared" si="34"/>
        <v>0</v>
      </c>
      <c r="N748">
        <f t="shared" si="35"/>
        <v>0</v>
      </c>
    </row>
    <row r="749" spans="1:14">
      <c r="A749">
        <v>7698</v>
      </c>
      <c r="B749" t="s">
        <v>934</v>
      </c>
      <c r="C749" t="s">
        <v>754</v>
      </c>
      <c r="D749" t="s">
        <v>935</v>
      </c>
      <c r="E749">
        <v>220932</v>
      </c>
      <c r="G749" s="2">
        <v>0.52152777777777781</v>
      </c>
      <c r="H749" s="2">
        <v>0.54305555555555551</v>
      </c>
      <c r="J749">
        <v>0.483423237755843</v>
      </c>
      <c r="K749" t="s">
        <v>1230</v>
      </c>
      <c r="L749" t="str">
        <f t="shared" si="33"/>
        <v>37</v>
      </c>
      <c r="M749">
        <f t="shared" si="34"/>
        <v>0</v>
      </c>
      <c r="N749">
        <f t="shared" si="35"/>
        <v>0</v>
      </c>
    </row>
    <row r="750" spans="1:14">
      <c r="A750">
        <v>7698</v>
      </c>
      <c r="B750" t="s">
        <v>934</v>
      </c>
      <c r="C750" t="s">
        <v>754</v>
      </c>
      <c r="D750" t="s">
        <v>935</v>
      </c>
      <c r="E750">
        <v>220932</v>
      </c>
      <c r="G750" s="2">
        <v>0.54305555555555551</v>
      </c>
      <c r="H750" s="2">
        <v>0.625</v>
      </c>
      <c r="J750">
        <v>1.84012716307063</v>
      </c>
      <c r="K750" t="s">
        <v>790</v>
      </c>
      <c r="L750" t="str">
        <f t="shared" si="33"/>
        <v>46</v>
      </c>
      <c r="M750">
        <f t="shared" si="34"/>
        <v>0</v>
      </c>
      <c r="N750">
        <f t="shared" si="35"/>
        <v>0</v>
      </c>
    </row>
    <row r="751" spans="1:14">
      <c r="A751">
        <v>7602</v>
      </c>
      <c r="B751" t="s">
        <v>936</v>
      </c>
      <c r="C751" t="s">
        <v>754</v>
      </c>
      <c r="D751" t="s">
        <v>766</v>
      </c>
      <c r="E751">
        <v>160966</v>
      </c>
      <c r="G751" s="2">
        <v>0.125</v>
      </c>
      <c r="H751" s="2">
        <v>0.12916666666666668</v>
      </c>
      <c r="J751">
        <v>9.5000000000000001E-2</v>
      </c>
      <c r="K751" t="s">
        <v>767</v>
      </c>
      <c r="L751" t="str">
        <f t="shared" si="33"/>
        <v>37</v>
      </c>
      <c r="M751">
        <f t="shared" si="34"/>
        <v>0</v>
      </c>
      <c r="N751">
        <f t="shared" si="35"/>
        <v>0</v>
      </c>
    </row>
    <row r="752" spans="1:14">
      <c r="A752">
        <v>7602</v>
      </c>
      <c r="B752" t="s">
        <v>936</v>
      </c>
      <c r="C752" t="s">
        <v>754</v>
      </c>
      <c r="D752" t="s">
        <v>766</v>
      </c>
      <c r="E752">
        <v>160966</v>
      </c>
      <c r="G752" s="2">
        <v>0.12916666666666668</v>
      </c>
      <c r="H752" s="2">
        <v>0.19166666666666665</v>
      </c>
      <c r="J752">
        <v>1.425</v>
      </c>
      <c r="K752" t="s">
        <v>827</v>
      </c>
      <c r="L752" t="str">
        <f t="shared" si="33"/>
        <v>37</v>
      </c>
      <c r="M752">
        <f t="shared" si="34"/>
        <v>0</v>
      </c>
      <c r="N752">
        <f t="shared" si="35"/>
        <v>0</v>
      </c>
    </row>
    <row r="753" spans="1:14">
      <c r="A753">
        <v>7602</v>
      </c>
      <c r="B753" t="s">
        <v>936</v>
      </c>
      <c r="C753" t="s">
        <v>754</v>
      </c>
      <c r="D753" t="s">
        <v>766</v>
      </c>
      <c r="E753">
        <v>160966</v>
      </c>
      <c r="G753" s="2">
        <v>0.19166666666666665</v>
      </c>
      <c r="H753" s="2">
        <v>0.44791666666666669</v>
      </c>
      <c r="J753">
        <v>5.8425000000000002</v>
      </c>
      <c r="K753" t="s">
        <v>768</v>
      </c>
      <c r="L753" t="str">
        <f t="shared" si="33"/>
        <v>46</v>
      </c>
      <c r="M753">
        <f t="shared" si="34"/>
        <v>0</v>
      </c>
      <c r="N753">
        <f t="shared" si="35"/>
        <v>0</v>
      </c>
    </row>
    <row r="754" spans="1:14">
      <c r="A754">
        <v>7602</v>
      </c>
      <c r="B754" t="s">
        <v>936</v>
      </c>
      <c r="C754" t="s">
        <v>754</v>
      </c>
      <c r="D754" t="s">
        <v>766</v>
      </c>
      <c r="E754">
        <v>160966</v>
      </c>
      <c r="G754" s="2">
        <v>0.44791666666666669</v>
      </c>
      <c r="H754" s="2">
        <v>0.54166666666666663</v>
      </c>
      <c r="J754">
        <v>2.1375000000000002</v>
      </c>
      <c r="K754" t="s">
        <v>778</v>
      </c>
      <c r="L754" t="str">
        <f t="shared" si="33"/>
        <v>37</v>
      </c>
      <c r="M754">
        <f t="shared" si="34"/>
        <v>0</v>
      </c>
      <c r="N754">
        <f t="shared" si="35"/>
        <v>0</v>
      </c>
    </row>
    <row r="755" spans="1:14">
      <c r="A755">
        <v>7052</v>
      </c>
      <c r="B755" t="s">
        <v>1117</v>
      </c>
      <c r="C755" t="s">
        <v>754</v>
      </c>
      <c r="D755" t="s">
        <v>841</v>
      </c>
      <c r="E755">
        <v>243718</v>
      </c>
      <c r="G755" s="2">
        <v>0.2076388888888889</v>
      </c>
      <c r="H755" s="2">
        <v>0.22430555555555556</v>
      </c>
      <c r="J755">
        <v>0.37936772046588801</v>
      </c>
      <c r="K755" t="s">
        <v>990</v>
      </c>
      <c r="L755" t="str">
        <f t="shared" si="33"/>
        <v>33</v>
      </c>
      <c r="M755">
        <f t="shared" si="34"/>
        <v>0</v>
      </c>
      <c r="N755">
        <f t="shared" si="35"/>
        <v>0</v>
      </c>
    </row>
    <row r="756" spans="1:14">
      <c r="A756">
        <v>7052</v>
      </c>
      <c r="B756" t="s">
        <v>1117</v>
      </c>
      <c r="C756" t="s">
        <v>754</v>
      </c>
      <c r="D756" t="s">
        <v>841</v>
      </c>
      <c r="E756">
        <v>243718</v>
      </c>
      <c r="G756" s="2">
        <v>0.22430555555555556</v>
      </c>
      <c r="H756" s="2">
        <v>0.4069444444444445</v>
      </c>
      <c r="J756">
        <v>4.1572379367720202</v>
      </c>
      <c r="K756" t="s">
        <v>990</v>
      </c>
      <c r="L756" t="str">
        <f t="shared" si="33"/>
        <v>33</v>
      </c>
      <c r="M756">
        <f t="shared" si="34"/>
        <v>0</v>
      </c>
      <c r="N756">
        <f t="shared" si="35"/>
        <v>0</v>
      </c>
    </row>
    <row r="757" spans="1:14">
      <c r="A757">
        <v>7052</v>
      </c>
      <c r="B757" t="s">
        <v>1117</v>
      </c>
      <c r="C757" t="s">
        <v>754</v>
      </c>
      <c r="D757" t="s">
        <v>841</v>
      </c>
      <c r="E757">
        <v>243718</v>
      </c>
      <c r="G757" s="2">
        <v>0.4069444444444445</v>
      </c>
      <c r="H757" s="2">
        <v>0.43055555555555558</v>
      </c>
      <c r="J757">
        <v>0.53743760399334195</v>
      </c>
      <c r="K757" t="s">
        <v>784</v>
      </c>
      <c r="L757" t="str">
        <f t="shared" si="33"/>
        <v>33</v>
      </c>
      <c r="M757">
        <f t="shared" si="34"/>
        <v>0</v>
      </c>
      <c r="N757">
        <f t="shared" si="35"/>
        <v>0</v>
      </c>
    </row>
    <row r="758" spans="1:14">
      <c r="A758">
        <v>7052</v>
      </c>
      <c r="B758" t="s">
        <v>1117</v>
      </c>
      <c r="C758" t="s">
        <v>754</v>
      </c>
      <c r="D758" t="s">
        <v>841</v>
      </c>
      <c r="E758">
        <v>243718</v>
      </c>
      <c r="G758" s="2">
        <v>0.43055555555555558</v>
      </c>
      <c r="H758" s="2">
        <v>0.625</v>
      </c>
      <c r="J758">
        <v>4.4259567387686998</v>
      </c>
      <c r="K758" t="s">
        <v>763</v>
      </c>
      <c r="L758" t="str">
        <f t="shared" si="33"/>
        <v>33</v>
      </c>
      <c r="M758">
        <f t="shared" si="34"/>
        <v>0</v>
      </c>
      <c r="N758">
        <f t="shared" si="35"/>
        <v>0</v>
      </c>
    </row>
    <row r="759" spans="1:14">
      <c r="A759">
        <v>7723</v>
      </c>
      <c r="B759" t="s">
        <v>937</v>
      </c>
      <c r="C759" t="s">
        <v>755</v>
      </c>
      <c r="D759" t="s">
        <v>777</v>
      </c>
      <c r="E759">
        <v>351067</v>
      </c>
      <c r="G759" s="2">
        <v>0.21944444444444444</v>
      </c>
      <c r="H759" s="2">
        <v>0.22291666666666665</v>
      </c>
      <c r="J759">
        <v>7.8239049893728402E-2</v>
      </c>
      <c r="K759" t="s">
        <v>767</v>
      </c>
      <c r="L759" t="str">
        <f t="shared" si="33"/>
        <v>37</v>
      </c>
      <c r="M759">
        <f t="shared" si="34"/>
        <v>0</v>
      </c>
      <c r="N759">
        <f t="shared" si="35"/>
        <v>0</v>
      </c>
    </row>
    <row r="760" spans="1:14">
      <c r="A760">
        <v>7723</v>
      </c>
      <c r="B760" t="s">
        <v>937</v>
      </c>
      <c r="C760" t="s">
        <v>755</v>
      </c>
      <c r="D760" t="s">
        <v>777</v>
      </c>
      <c r="E760">
        <v>351067</v>
      </c>
      <c r="G760" s="2">
        <v>0.22291666666666665</v>
      </c>
      <c r="H760" s="2">
        <v>0.23125000000000001</v>
      </c>
      <c r="J760">
        <v>0.187773719744948</v>
      </c>
      <c r="K760" t="s">
        <v>827</v>
      </c>
      <c r="L760" t="str">
        <f t="shared" si="33"/>
        <v>37</v>
      </c>
      <c r="M760">
        <f t="shared" si="34"/>
        <v>0</v>
      </c>
      <c r="N760">
        <f t="shared" si="35"/>
        <v>0</v>
      </c>
    </row>
    <row r="761" spans="1:14">
      <c r="A761">
        <v>7723</v>
      </c>
      <c r="B761" t="s">
        <v>937</v>
      </c>
      <c r="C761" t="s">
        <v>755</v>
      </c>
      <c r="D761" t="s">
        <v>777</v>
      </c>
      <c r="E761">
        <v>351067</v>
      </c>
      <c r="G761" s="2">
        <v>0.23125000000000001</v>
      </c>
      <c r="H761" s="2">
        <v>0.24166666666666667</v>
      </c>
      <c r="J761">
        <v>0.23471714968118501</v>
      </c>
      <c r="K761" t="s">
        <v>767</v>
      </c>
      <c r="L761" t="str">
        <f t="shared" si="33"/>
        <v>37</v>
      </c>
      <c r="M761">
        <f t="shared" si="34"/>
        <v>0</v>
      </c>
      <c r="N761">
        <f t="shared" si="35"/>
        <v>0</v>
      </c>
    </row>
    <row r="762" spans="1:14">
      <c r="A762">
        <v>7723</v>
      </c>
      <c r="B762" t="s">
        <v>937</v>
      </c>
      <c r="C762" t="s">
        <v>755</v>
      </c>
      <c r="D762" t="s">
        <v>777</v>
      </c>
      <c r="E762">
        <v>351067</v>
      </c>
      <c r="G762" s="2">
        <v>0.24166666666666667</v>
      </c>
      <c r="H762" s="2">
        <v>0.24444444444444446</v>
      </c>
      <c r="J762">
        <v>6.2591239914982805E-2</v>
      </c>
      <c r="K762" t="s">
        <v>827</v>
      </c>
      <c r="L762" t="str">
        <f t="shared" si="33"/>
        <v>37</v>
      </c>
      <c r="M762">
        <f t="shared" si="34"/>
        <v>0</v>
      </c>
      <c r="N762">
        <f t="shared" si="35"/>
        <v>0</v>
      </c>
    </row>
    <row r="763" spans="1:14">
      <c r="A763">
        <v>7723</v>
      </c>
      <c r="B763" t="s">
        <v>937</v>
      </c>
      <c r="C763" t="s">
        <v>755</v>
      </c>
      <c r="D763" t="s">
        <v>777</v>
      </c>
      <c r="E763">
        <v>351067</v>
      </c>
      <c r="G763" s="2">
        <v>0.24444444444444446</v>
      </c>
      <c r="H763" s="2">
        <v>0.27916666666666667</v>
      </c>
      <c r="J763">
        <v>0.78239049893728396</v>
      </c>
      <c r="K763" t="s">
        <v>767</v>
      </c>
      <c r="L763" t="str">
        <f t="shared" si="33"/>
        <v>37</v>
      </c>
      <c r="M763">
        <f t="shared" si="34"/>
        <v>0</v>
      </c>
      <c r="N763">
        <f t="shared" si="35"/>
        <v>0</v>
      </c>
    </row>
    <row r="764" spans="1:14">
      <c r="A764">
        <v>7723</v>
      </c>
      <c r="B764" t="s">
        <v>937</v>
      </c>
      <c r="C764" t="s">
        <v>755</v>
      </c>
      <c r="D764" t="s">
        <v>777</v>
      </c>
      <c r="E764">
        <v>351067</v>
      </c>
      <c r="G764" s="2">
        <v>0.27916666666666667</v>
      </c>
      <c r="H764" s="2">
        <v>0.28888888888888892</v>
      </c>
      <c r="J764">
        <v>0.219069339702439</v>
      </c>
      <c r="K764" t="s">
        <v>827</v>
      </c>
      <c r="L764" t="str">
        <f t="shared" si="33"/>
        <v>37</v>
      </c>
      <c r="M764">
        <f t="shared" si="34"/>
        <v>0</v>
      </c>
      <c r="N764">
        <f t="shared" si="35"/>
        <v>0</v>
      </c>
    </row>
    <row r="765" spans="1:14">
      <c r="A765">
        <v>7723</v>
      </c>
      <c r="B765" t="s">
        <v>937</v>
      </c>
      <c r="C765" t="s">
        <v>755</v>
      </c>
      <c r="D765" t="s">
        <v>777</v>
      </c>
      <c r="E765">
        <v>351067</v>
      </c>
      <c r="G765" s="2">
        <v>0.28888888888888892</v>
      </c>
      <c r="H765" s="2">
        <v>0.39652777777777781</v>
      </c>
      <c r="J765">
        <v>2.42541054670557</v>
      </c>
      <c r="K765" t="s">
        <v>767</v>
      </c>
      <c r="L765" t="str">
        <f t="shared" si="33"/>
        <v>37</v>
      </c>
      <c r="M765">
        <f t="shared" si="34"/>
        <v>0</v>
      </c>
      <c r="N765">
        <f t="shared" si="35"/>
        <v>0</v>
      </c>
    </row>
    <row r="766" spans="1:14">
      <c r="A766">
        <v>7723</v>
      </c>
      <c r="B766" t="s">
        <v>937</v>
      </c>
      <c r="C766" t="s">
        <v>755</v>
      </c>
      <c r="D766" t="s">
        <v>777</v>
      </c>
      <c r="E766">
        <v>351067</v>
      </c>
      <c r="G766" s="2">
        <v>0.39652777777777781</v>
      </c>
      <c r="H766" s="2">
        <v>0.40347222222222223</v>
      </c>
      <c r="J766">
        <v>0.156478099787457</v>
      </c>
      <c r="K766" t="s">
        <v>768</v>
      </c>
      <c r="L766" t="str">
        <f t="shared" si="33"/>
        <v>46</v>
      </c>
      <c r="M766">
        <f t="shared" si="34"/>
        <v>0</v>
      </c>
      <c r="N766">
        <f t="shared" si="35"/>
        <v>0</v>
      </c>
    </row>
    <row r="767" spans="1:14">
      <c r="A767">
        <v>7723</v>
      </c>
      <c r="B767" t="s">
        <v>937</v>
      </c>
      <c r="C767" t="s">
        <v>755</v>
      </c>
      <c r="D767" t="s">
        <v>777</v>
      </c>
      <c r="E767">
        <v>351067</v>
      </c>
      <c r="G767" s="2">
        <v>0.40347222222222223</v>
      </c>
      <c r="H767" s="2">
        <v>0.56319444444444444</v>
      </c>
      <c r="J767">
        <v>3.5989962951115002</v>
      </c>
      <c r="K767" t="s">
        <v>767</v>
      </c>
      <c r="L767" t="str">
        <f t="shared" si="33"/>
        <v>37</v>
      </c>
      <c r="M767">
        <f t="shared" si="34"/>
        <v>0</v>
      </c>
      <c r="N767">
        <f t="shared" si="35"/>
        <v>0</v>
      </c>
    </row>
    <row r="768" spans="1:14">
      <c r="A768">
        <v>7564</v>
      </c>
      <c r="B768" t="s">
        <v>938</v>
      </c>
      <c r="C768" t="s">
        <v>754</v>
      </c>
      <c r="D768" t="s">
        <v>841</v>
      </c>
      <c r="E768">
        <v>133881</v>
      </c>
      <c r="G768" s="2">
        <v>0.22361111111111109</v>
      </c>
      <c r="H768" s="2">
        <v>0.48749999999999999</v>
      </c>
      <c r="J768">
        <v>6.0010640540190696</v>
      </c>
      <c r="K768" t="s">
        <v>842</v>
      </c>
      <c r="L768" t="str">
        <f t="shared" si="33"/>
        <v>33</v>
      </c>
      <c r="M768">
        <f t="shared" si="34"/>
        <v>0</v>
      </c>
      <c r="N768">
        <f t="shared" si="35"/>
        <v>0</v>
      </c>
    </row>
    <row r="769" spans="1:14">
      <c r="A769">
        <v>7564</v>
      </c>
      <c r="B769" t="s">
        <v>938</v>
      </c>
      <c r="C769" t="s">
        <v>754</v>
      </c>
      <c r="D769" t="s">
        <v>841</v>
      </c>
      <c r="E769">
        <v>133881</v>
      </c>
      <c r="G769" s="2">
        <v>0.48749999999999999</v>
      </c>
      <c r="H769" s="2">
        <v>0.48819444444444443</v>
      </c>
      <c r="J769">
        <v>1.5792273826365999E-2</v>
      </c>
      <c r="K769" t="s">
        <v>834</v>
      </c>
      <c r="L769" t="str">
        <f t="shared" si="33"/>
        <v>33</v>
      </c>
      <c r="M769">
        <f t="shared" si="34"/>
        <v>0</v>
      </c>
      <c r="N769">
        <f t="shared" si="35"/>
        <v>0</v>
      </c>
    </row>
    <row r="770" spans="1:14">
      <c r="A770">
        <v>7564</v>
      </c>
      <c r="B770" t="s">
        <v>938</v>
      </c>
      <c r="C770" t="s">
        <v>754</v>
      </c>
      <c r="D770" t="s">
        <v>841</v>
      </c>
      <c r="E770">
        <v>133881</v>
      </c>
      <c r="G770" s="2">
        <v>0.48819444444444443</v>
      </c>
      <c r="H770" s="2">
        <v>0.49027777777777781</v>
      </c>
      <c r="J770">
        <v>4.73768214790979E-2</v>
      </c>
      <c r="K770" t="s">
        <v>798</v>
      </c>
      <c r="L770" t="str">
        <f t="shared" ref="L770:L833" si="36">RIGHT(LEFT(K770,4),2)</f>
        <v>33</v>
      </c>
      <c r="M770">
        <f t="shared" ref="M770:M833" si="37">IF(I770=0,0,I770-H770)+IF(F770=0,0,G770-F770)</f>
        <v>0</v>
      </c>
      <c r="N770">
        <f t="shared" ref="N770:N833" si="38">(M770-INT(M770))*24</f>
        <v>0</v>
      </c>
    </row>
    <row r="771" spans="1:14">
      <c r="A771">
        <v>7564</v>
      </c>
      <c r="B771" t="s">
        <v>938</v>
      </c>
      <c r="C771" t="s">
        <v>754</v>
      </c>
      <c r="D771" t="s">
        <v>841</v>
      </c>
      <c r="E771">
        <v>133881</v>
      </c>
      <c r="G771" s="2">
        <v>0.49027777777777781</v>
      </c>
      <c r="H771" s="2">
        <v>0.4909722222222222</v>
      </c>
      <c r="J771">
        <v>1.5792273826365999E-2</v>
      </c>
      <c r="K771" t="s">
        <v>834</v>
      </c>
      <c r="L771" t="str">
        <f t="shared" si="36"/>
        <v>33</v>
      </c>
      <c r="M771">
        <f t="shared" si="37"/>
        <v>0</v>
      </c>
      <c r="N771">
        <f t="shared" si="38"/>
        <v>0</v>
      </c>
    </row>
    <row r="772" spans="1:14">
      <c r="A772">
        <v>7564</v>
      </c>
      <c r="B772" t="s">
        <v>938</v>
      </c>
      <c r="C772" t="s">
        <v>754</v>
      </c>
      <c r="D772" t="s">
        <v>841</v>
      </c>
      <c r="E772">
        <v>133881</v>
      </c>
      <c r="G772" s="2">
        <v>0.4909722222222222</v>
      </c>
      <c r="H772" s="2">
        <v>0.49444444444444446</v>
      </c>
      <c r="J772">
        <v>7.8961369131829898E-2</v>
      </c>
      <c r="K772" t="s">
        <v>798</v>
      </c>
      <c r="L772" t="str">
        <f t="shared" si="36"/>
        <v>33</v>
      </c>
      <c r="M772">
        <f t="shared" si="37"/>
        <v>0</v>
      </c>
      <c r="N772">
        <f t="shared" si="38"/>
        <v>0</v>
      </c>
    </row>
    <row r="773" spans="1:14">
      <c r="A773">
        <v>7564</v>
      </c>
      <c r="B773" t="s">
        <v>938</v>
      </c>
      <c r="C773" t="s">
        <v>754</v>
      </c>
      <c r="D773" t="s">
        <v>841</v>
      </c>
      <c r="E773">
        <v>133881</v>
      </c>
      <c r="G773" s="2">
        <v>0.49444444444444446</v>
      </c>
      <c r="H773" s="2">
        <v>0.50416666666666665</v>
      </c>
      <c r="J773">
        <v>0.22109183356912299</v>
      </c>
      <c r="K773" t="s">
        <v>834</v>
      </c>
      <c r="L773" t="str">
        <f t="shared" si="36"/>
        <v>33</v>
      </c>
      <c r="M773">
        <f t="shared" si="37"/>
        <v>0</v>
      </c>
      <c r="N773">
        <f t="shared" si="38"/>
        <v>0</v>
      </c>
    </row>
    <row r="774" spans="1:14">
      <c r="A774">
        <v>7564</v>
      </c>
      <c r="B774" t="s">
        <v>938</v>
      </c>
      <c r="C774" t="s">
        <v>754</v>
      </c>
      <c r="D774" t="s">
        <v>841</v>
      </c>
      <c r="E774">
        <v>133881</v>
      </c>
      <c r="G774" s="2">
        <v>0.50416666666666665</v>
      </c>
      <c r="H774" s="2">
        <v>0.55625000000000002</v>
      </c>
      <c r="J774">
        <v>1.1844205369774401</v>
      </c>
      <c r="K774" t="s">
        <v>799</v>
      </c>
      <c r="L774" t="str">
        <f t="shared" si="36"/>
        <v>33</v>
      </c>
      <c r="M774">
        <f t="shared" si="37"/>
        <v>0</v>
      </c>
      <c r="N774">
        <f t="shared" si="38"/>
        <v>0</v>
      </c>
    </row>
    <row r="775" spans="1:14">
      <c r="A775">
        <v>7564</v>
      </c>
      <c r="B775" t="s">
        <v>938</v>
      </c>
      <c r="C775" t="s">
        <v>754</v>
      </c>
      <c r="D775" t="s">
        <v>841</v>
      </c>
      <c r="E775">
        <v>133881</v>
      </c>
      <c r="G775" s="2">
        <v>0.55625000000000002</v>
      </c>
      <c r="H775" s="2">
        <v>0.55902777777777779</v>
      </c>
      <c r="J775">
        <v>6.3169095305463899E-2</v>
      </c>
      <c r="K775" t="s">
        <v>798</v>
      </c>
      <c r="L775" t="str">
        <f t="shared" si="36"/>
        <v>33</v>
      </c>
      <c r="M775">
        <f t="shared" si="37"/>
        <v>0</v>
      </c>
      <c r="N775">
        <f t="shared" si="38"/>
        <v>0</v>
      </c>
    </row>
    <row r="776" spans="1:14">
      <c r="A776">
        <v>7564</v>
      </c>
      <c r="B776" t="s">
        <v>938</v>
      </c>
      <c r="C776" t="s">
        <v>754</v>
      </c>
      <c r="D776" t="s">
        <v>841</v>
      </c>
      <c r="E776">
        <v>133881</v>
      </c>
      <c r="G776" s="2">
        <v>0.55902777777777779</v>
      </c>
      <c r="H776" s="2">
        <v>0.56666666666666665</v>
      </c>
      <c r="J776">
        <v>0.17371501209002499</v>
      </c>
      <c r="K776" t="s">
        <v>806</v>
      </c>
      <c r="L776" t="str">
        <f t="shared" si="36"/>
        <v>33</v>
      </c>
      <c r="M776">
        <f t="shared" si="37"/>
        <v>0</v>
      </c>
      <c r="N776">
        <f t="shared" si="38"/>
        <v>0</v>
      </c>
    </row>
    <row r="777" spans="1:14">
      <c r="A777">
        <v>7564</v>
      </c>
      <c r="B777" t="s">
        <v>938</v>
      </c>
      <c r="C777" t="s">
        <v>754</v>
      </c>
      <c r="D777" t="s">
        <v>841</v>
      </c>
      <c r="E777">
        <v>133881</v>
      </c>
      <c r="G777" s="2">
        <v>0.56666666666666665</v>
      </c>
      <c r="H777" s="2">
        <v>0.56944444444444442</v>
      </c>
      <c r="J777">
        <v>6.3169095305463899E-2</v>
      </c>
      <c r="K777" t="s">
        <v>798</v>
      </c>
      <c r="L777" t="str">
        <f t="shared" si="36"/>
        <v>33</v>
      </c>
      <c r="M777">
        <f t="shared" si="37"/>
        <v>0</v>
      </c>
      <c r="N777">
        <f t="shared" si="38"/>
        <v>0</v>
      </c>
    </row>
    <row r="778" spans="1:14">
      <c r="A778">
        <v>7564</v>
      </c>
      <c r="B778" t="s">
        <v>938</v>
      </c>
      <c r="C778" t="s">
        <v>754</v>
      </c>
      <c r="D778" t="s">
        <v>841</v>
      </c>
      <c r="E778">
        <v>133881</v>
      </c>
      <c r="G778" s="2">
        <v>0.56944444444444442</v>
      </c>
      <c r="H778" s="2">
        <v>0.58888888888888891</v>
      </c>
      <c r="J778">
        <v>0.44218366713824803</v>
      </c>
      <c r="K778" t="s">
        <v>800</v>
      </c>
      <c r="L778" t="str">
        <f t="shared" si="36"/>
        <v>33</v>
      </c>
      <c r="M778">
        <f t="shared" si="37"/>
        <v>0</v>
      </c>
      <c r="N778">
        <f t="shared" si="38"/>
        <v>0</v>
      </c>
    </row>
    <row r="779" spans="1:14">
      <c r="A779">
        <v>7564</v>
      </c>
      <c r="B779" t="s">
        <v>938</v>
      </c>
      <c r="C779" t="s">
        <v>754</v>
      </c>
      <c r="D779" t="s">
        <v>841</v>
      </c>
      <c r="E779">
        <v>133881</v>
      </c>
      <c r="G779" s="2">
        <v>0.58888888888888891</v>
      </c>
      <c r="H779" s="2">
        <v>0.59027777777777779</v>
      </c>
      <c r="J779">
        <v>3.1584547652731901E-2</v>
      </c>
      <c r="K779" t="s">
        <v>798</v>
      </c>
      <c r="L779" t="str">
        <f t="shared" si="36"/>
        <v>33</v>
      </c>
      <c r="M779">
        <f t="shared" si="37"/>
        <v>0</v>
      </c>
      <c r="N779">
        <f t="shared" si="38"/>
        <v>0</v>
      </c>
    </row>
    <row r="780" spans="1:14">
      <c r="A780">
        <v>7564</v>
      </c>
      <c r="B780" t="s">
        <v>938</v>
      </c>
      <c r="C780" t="s">
        <v>754</v>
      </c>
      <c r="D780" t="s">
        <v>841</v>
      </c>
      <c r="E780">
        <v>133881</v>
      </c>
      <c r="G780" s="2">
        <v>0.59027777777777779</v>
      </c>
      <c r="H780" s="2">
        <v>0.59861111111111109</v>
      </c>
      <c r="J780">
        <v>0.18950728591639099</v>
      </c>
      <c r="K780" t="s">
        <v>812</v>
      </c>
      <c r="L780" t="str">
        <f t="shared" si="36"/>
        <v>33</v>
      </c>
      <c r="M780">
        <f t="shared" si="37"/>
        <v>0</v>
      </c>
      <c r="N780">
        <f t="shared" si="38"/>
        <v>0</v>
      </c>
    </row>
    <row r="781" spans="1:14">
      <c r="A781">
        <v>7564</v>
      </c>
      <c r="B781" t="s">
        <v>938</v>
      </c>
      <c r="C781" t="s">
        <v>754</v>
      </c>
      <c r="D781" t="s">
        <v>841</v>
      </c>
      <c r="E781">
        <v>133881</v>
      </c>
      <c r="G781" s="2">
        <v>0.59861111111111109</v>
      </c>
      <c r="H781" s="2">
        <v>0.625</v>
      </c>
      <c r="J781">
        <v>0.60010640540190696</v>
      </c>
      <c r="K781" t="s">
        <v>798</v>
      </c>
      <c r="L781" t="str">
        <f t="shared" si="36"/>
        <v>33</v>
      </c>
      <c r="M781">
        <f t="shared" si="37"/>
        <v>0</v>
      </c>
      <c r="N781">
        <f t="shared" si="38"/>
        <v>0</v>
      </c>
    </row>
    <row r="782" spans="1:14">
      <c r="A782">
        <v>8049</v>
      </c>
      <c r="B782" t="s">
        <v>939</v>
      </c>
      <c r="C782" t="s">
        <v>755</v>
      </c>
      <c r="D782" t="s">
        <v>775</v>
      </c>
      <c r="E782">
        <v>442699</v>
      </c>
      <c r="G782" s="2">
        <v>0.35416666666666669</v>
      </c>
      <c r="H782" s="2">
        <v>0.70833333333333337</v>
      </c>
      <c r="J782">
        <v>8</v>
      </c>
      <c r="K782" t="s">
        <v>940</v>
      </c>
      <c r="L782" t="str">
        <f t="shared" si="36"/>
        <v>65</v>
      </c>
      <c r="M782">
        <f t="shared" si="37"/>
        <v>0</v>
      </c>
      <c r="N782">
        <f t="shared" si="38"/>
        <v>0</v>
      </c>
    </row>
    <row r="783" spans="1:14">
      <c r="A783">
        <v>7265</v>
      </c>
      <c r="B783" t="s">
        <v>1231</v>
      </c>
      <c r="C783" t="s">
        <v>755</v>
      </c>
      <c r="D783" t="s">
        <v>861</v>
      </c>
      <c r="E783">
        <v>258612</v>
      </c>
      <c r="G783" s="2">
        <v>0.21458333333333335</v>
      </c>
      <c r="H783" s="2">
        <v>0.31180555555555556</v>
      </c>
      <c r="J783">
        <v>2.33230769230765</v>
      </c>
      <c r="K783" t="s">
        <v>870</v>
      </c>
      <c r="L783" t="str">
        <f t="shared" si="36"/>
        <v>37</v>
      </c>
      <c r="M783">
        <f t="shared" si="37"/>
        <v>0</v>
      </c>
      <c r="N783">
        <f t="shared" si="38"/>
        <v>0</v>
      </c>
    </row>
    <row r="784" spans="1:14">
      <c r="A784">
        <v>7128</v>
      </c>
      <c r="B784" t="s">
        <v>941</v>
      </c>
      <c r="C784" t="s">
        <v>754</v>
      </c>
      <c r="D784" t="s">
        <v>757</v>
      </c>
      <c r="E784">
        <v>26055</v>
      </c>
      <c r="G784" s="2">
        <v>0.21041666666666667</v>
      </c>
      <c r="H784" s="2">
        <v>0.21527777777777779</v>
      </c>
      <c r="J784">
        <v>0.109268927306336</v>
      </c>
      <c r="K784" t="s">
        <v>798</v>
      </c>
      <c r="L784" t="str">
        <f t="shared" si="36"/>
        <v>33</v>
      </c>
      <c r="M784">
        <f t="shared" si="37"/>
        <v>0</v>
      </c>
      <c r="N784">
        <f t="shared" si="38"/>
        <v>0</v>
      </c>
    </row>
    <row r="785" spans="1:14">
      <c r="A785">
        <v>7128</v>
      </c>
      <c r="B785" t="s">
        <v>941</v>
      </c>
      <c r="C785" t="s">
        <v>754</v>
      </c>
      <c r="D785" t="s">
        <v>757</v>
      </c>
      <c r="E785">
        <v>26055</v>
      </c>
      <c r="G785" s="2">
        <v>0.21527777777777779</v>
      </c>
      <c r="H785" s="2">
        <v>0.29583333333333334</v>
      </c>
      <c r="J785">
        <v>1.81074222393356</v>
      </c>
      <c r="K785" t="s">
        <v>799</v>
      </c>
      <c r="L785" t="str">
        <f t="shared" si="36"/>
        <v>33</v>
      </c>
      <c r="M785">
        <f t="shared" si="37"/>
        <v>0</v>
      </c>
      <c r="N785">
        <f t="shared" si="38"/>
        <v>0</v>
      </c>
    </row>
    <row r="786" spans="1:14">
      <c r="A786">
        <v>7128</v>
      </c>
      <c r="B786" t="s">
        <v>941</v>
      </c>
      <c r="C786" t="s">
        <v>754</v>
      </c>
      <c r="D786" t="s">
        <v>757</v>
      </c>
      <c r="E786">
        <v>26055</v>
      </c>
      <c r="G786" s="2">
        <v>0.29583333333333334</v>
      </c>
      <c r="H786" s="2">
        <v>0.29930555555555555</v>
      </c>
      <c r="J786">
        <v>7.8049233790240105E-2</v>
      </c>
      <c r="K786" t="s">
        <v>798</v>
      </c>
      <c r="L786" t="str">
        <f t="shared" si="36"/>
        <v>33</v>
      </c>
      <c r="M786">
        <f t="shared" si="37"/>
        <v>0</v>
      </c>
      <c r="N786">
        <f t="shared" si="38"/>
        <v>0</v>
      </c>
    </row>
    <row r="787" spans="1:14">
      <c r="A787">
        <v>7128</v>
      </c>
      <c r="B787" t="s">
        <v>941</v>
      </c>
      <c r="C787" t="s">
        <v>754</v>
      </c>
      <c r="D787" t="s">
        <v>757</v>
      </c>
      <c r="E787">
        <v>26055</v>
      </c>
      <c r="G787" s="2">
        <v>0.29930555555555555</v>
      </c>
      <c r="H787" s="2">
        <v>0.30763888888888891</v>
      </c>
      <c r="J787">
        <v>0.18731816109657601</v>
      </c>
      <c r="K787" t="s">
        <v>812</v>
      </c>
      <c r="L787" t="str">
        <f t="shared" si="36"/>
        <v>33</v>
      </c>
      <c r="M787">
        <f t="shared" si="37"/>
        <v>0</v>
      </c>
      <c r="N787">
        <f t="shared" si="38"/>
        <v>0</v>
      </c>
    </row>
    <row r="788" spans="1:14">
      <c r="A788">
        <v>7128</v>
      </c>
      <c r="B788" t="s">
        <v>941</v>
      </c>
      <c r="C788" t="s">
        <v>754</v>
      </c>
      <c r="D788" t="s">
        <v>757</v>
      </c>
      <c r="E788">
        <v>26055</v>
      </c>
      <c r="G788" s="2">
        <v>0.30763888888888891</v>
      </c>
      <c r="H788" s="2">
        <v>0.31319444444444444</v>
      </c>
      <c r="J788">
        <v>0.124878774064383</v>
      </c>
      <c r="K788" t="s">
        <v>798</v>
      </c>
      <c r="L788" t="str">
        <f t="shared" si="36"/>
        <v>33</v>
      </c>
      <c r="M788">
        <f t="shared" si="37"/>
        <v>0</v>
      </c>
      <c r="N788">
        <f t="shared" si="38"/>
        <v>0</v>
      </c>
    </row>
    <row r="789" spans="1:14">
      <c r="A789">
        <v>7128</v>
      </c>
      <c r="B789" t="s">
        <v>941</v>
      </c>
      <c r="C789" t="s">
        <v>754</v>
      </c>
      <c r="D789" t="s">
        <v>757</v>
      </c>
      <c r="E789">
        <v>26055</v>
      </c>
      <c r="G789" s="2">
        <v>0.31319444444444444</v>
      </c>
      <c r="H789" s="2">
        <v>0.32708333333333334</v>
      </c>
      <c r="J789">
        <v>0.31219693516095998</v>
      </c>
      <c r="K789" t="s">
        <v>812</v>
      </c>
      <c r="L789" t="str">
        <f t="shared" si="36"/>
        <v>33</v>
      </c>
      <c r="M789">
        <f t="shared" si="37"/>
        <v>0</v>
      </c>
      <c r="N789">
        <f t="shared" si="38"/>
        <v>0</v>
      </c>
    </row>
    <row r="790" spans="1:14">
      <c r="A790">
        <v>7128</v>
      </c>
      <c r="B790" t="s">
        <v>941</v>
      </c>
      <c r="C790" t="s">
        <v>754</v>
      </c>
      <c r="D790" t="s">
        <v>757</v>
      </c>
      <c r="E790">
        <v>26055</v>
      </c>
      <c r="G790" s="2">
        <v>0.32708333333333334</v>
      </c>
      <c r="H790" s="2">
        <v>0.54166666666666663</v>
      </c>
      <c r="J790">
        <v>4.8234426482368402</v>
      </c>
      <c r="K790" t="s">
        <v>930</v>
      </c>
      <c r="L790" t="str">
        <f t="shared" si="36"/>
        <v>33</v>
      </c>
      <c r="M790">
        <f t="shared" si="37"/>
        <v>0</v>
      </c>
      <c r="N790">
        <f t="shared" si="38"/>
        <v>0</v>
      </c>
    </row>
    <row r="791" spans="1:14">
      <c r="A791">
        <v>7281</v>
      </c>
      <c r="B791" t="s">
        <v>1118</v>
      </c>
      <c r="C791" t="s">
        <v>755</v>
      </c>
      <c r="D791" t="s">
        <v>757</v>
      </c>
      <c r="E791">
        <v>30723</v>
      </c>
      <c r="G791" s="2">
        <v>6.458333333333334E-2</v>
      </c>
      <c r="H791" s="2">
        <v>0.23819444444444446</v>
      </c>
      <c r="J791">
        <v>3.9024616895120099</v>
      </c>
      <c r="K791" t="s">
        <v>825</v>
      </c>
      <c r="L791" t="str">
        <f t="shared" si="36"/>
        <v>33</v>
      </c>
      <c r="M791">
        <f t="shared" si="37"/>
        <v>0</v>
      </c>
      <c r="N791">
        <f t="shared" si="38"/>
        <v>0</v>
      </c>
    </row>
    <row r="792" spans="1:14">
      <c r="A792">
        <v>7281</v>
      </c>
      <c r="B792" t="s">
        <v>1118</v>
      </c>
      <c r="C792" t="s">
        <v>755</v>
      </c>
      <c r="D792" t="s">
        <v>757</v>
      </c>
      <c r="E792">
        <v>30723</v>
      </c>
      <c r="G792" s="2">
        <v>0.23819444444444446</v>
      </c>
      <c r="H792" s="2">
        <v>0.2986111111111111</v>
      </c>
      <c r="J792">
        <v>1.35805666795017</v>
      </c>
      <c r="K792" t="s">
        <v>772</v>
      </c>
      <c r="L792" t="str">
        <f t="shared" si="36"/>
        <v>33</v>
      </c>
      <c r="M792">
        <f t="shared" si="37"/>
        <v>0</v>
      </c>
      <c r="N792">
        <f t="shared" si="38"/>
        <v>0</v>
      </c>
    </row>
    <row r="793" spans="1:14">
      <c r="A793">
        <v>7281</v>
      </c>
      <c r="B793" t="s">
        <v>1118</v>
      </c>
      <c r="C793" t="s">
        <v>755</v>
      </c>
      <c r="D793" t="s">
        <v>757</v>
      </c>
      <c r="E793">
        <v>30723</v>
      </c>
      <c r="G793" s="2">
        <v>0.2986111111111111</v>
      </c>
      <c r="H793" s="2">
        <v>0.35416666666666669</v>
      </c>
      <c r="J793">
        <v>1.2487877406438299</v>
      </c>
      <c r="K793" t="s">
        <v>763</v>
      </c>
      <c r="L793" t="str">
        <f t="shared" si="36"/>
        <v>33</v>
      </c>
      <c r="M793">
        <f t="shared" si="37"/>
        <v>0</v>
      </c>
      <c r="N793">
        <f t="shared" si="38"/>
        <v>0</v>
      </c>
    </row>
    <row r="794" spans="1:14">
      <c r="A794">
        <v>7281</v>
      </c>
      <c r="B794" t="s">
        <v>1118</v>
      </c>
      <c r="C794" t="s">
        <v>755</v>
      </c>
      <c r="D794" t="s">
        <v>757</v>
      </c>
      <c r="E794">
        <v>30723</v>
      </c>
      <c r="G794" s="2">
        <v>0.35416666666666669</v>
      </c>
      <c r="H794" s="2">
        <v>0.39583333333333331</v>
      </c>
      <c r="J794">
        <v>0.93659080548288098</v>
      </c>
      <c r="K794" t="s">
        <v>759</v>
      </c>
      <c r="L794" t="str">
        <f t="shared" si="36"/>
        <v>33</v>
      </c>
      <c r="M794">
        <f t="shared" si="37"/>
        <v>0</v>
      </c>
      <c r="N794">
        <f t="shared" si="38"/>
        <v>0</v>
      </c>
    </row>
    <row r="795" spans="1:14">
      <c r="A795">
        <v>7339</v>
      </c>
      <c r="B795" t="s">
        <v>1119</v>
      </c>
      <c r="C795" t="s">
        <v>754</v>
      </c>
      <c r="D795" t="s">
        <v>766</v>
      </c>
      <c r="E795">
        <v>37659</v>
      </c>
      <c r="G795" s="2">
        <v>0.125</v>
      </c>
      <c r="H795" s="2">
        <v>0.14583333333333334</v>
      </c>
      <c r="J795">
        <v>0.50194522868435698</v>
      </c>
      <c r="K795" t="s">
        <v>803</v>
      </c>
      <c r="L795" t="str">
        <f t="shared" si="36"/>
        <v>37</v>
      </c>
      <c r="M795">
        <f t="shared" si="37"/>
        <v>0</v>
      </c>
      <c r="N795">
        <f t="shared" si="38"/>
        <v>0</v>
      </c>
    </row>
    <row r="796" spans="1:14">
      <c r="A796">
        <v>7339</v>
      </c>
      <c r="B796" t="s">
        <v>1119</v>
      </c>
      <c r="C796" t="s">
        <v>754</v>
      </c>
      <c r="D796" t="s">
        <v>766</v>
      </c>
      <c r="E796">
        <v>37659</v>
      </c>
      <c r="G796" s="2">
        <v>0.14583333333333334</v>
      </c>
      <c r="H796" s="2">
        <v>0.17013888888888887</v>
      </c>
      <c r="J796">
        <v>0.58560276679841605</v>
      </c>
      <c r="K796" t="s">
        <v>779</v>
      </c>
      <c r="L796" t="str">
        <f t="shared" si="36"/>
        <v>37</v>
      </c>
      <c r="M796">
        <f t="shared" si="37"/>
        <v>0</v>
      </c>
      <c r="N796">
        <f t="shared" si="38"/>
        <v>0</v>
      </c>
    </row>
    <row r="797" spans="1:14">
      <c r="A797">
        <v>7339</v>
      </c>
      <c r="B797" t="s">
        <v>1119</v>
      </c>
      <c r="C797" t="s">
        <v>754</v>
      </c>
      <c r="D797" t="s">
        <v>766</v>
      </c>
      <c r="E797">
        <v>37659</v>
      </c>
      <c r="G797" s="2">
        <v>0.17013888888888887</v>
      </c>
      <c r="H797" s="2">
        <v>0.30069444444444443</v>
      </c>
      <c r="J797">
        <v>3.1455234330886301</v>
      </c>
      <c r="K797" t="s">
        <v>803</v>
      </c>
      <c r="L797" t="str">
        <f t="shared" si="36"/>
        <v>37</v>
      </c>
      <c r="M797">
        <f t="shared" si="37"/>
        <v>0</v>
      </c>
      <c r="N797">
        <f t="shared" si="38"/>
        <v>0</v>
      </c>
    </row>
    <row r="798" spans="1:14">
      <c r="A798">
        <v>7932</v>
      </c>
      <c r="B798" t="s">
        <v>942</v>
      </c>
      <c r="C798" t="s">
        <v>755</v>
      </c>
      <c r="D798" t="s">
        <v>757</v>
      </c>
      <c r="E798">
        <v>836990</v>
      </c>
      <c r="G798" s="2">
        <v>0.21458333333333335</v>
      </c>
      <c r="H798" s="2">
        <v>0.24374999999999999</v>
      </c>
      <c r="J798">
        <v>0.65771404383350396</v>
      </c>
      <c r="K798" t="s">
        <v>759</v>
      </c>
      <c r="L798" t="str">
        <f t="shared" si="36"/>
        <v>33</v>
      </c>
      <c r="M798">
        <f t="shared" si="37"/>
        <v>0</v>
      </c>
      <c r="N798">
        <f t="shared" si="38"/>
        <v>0</v>
      </c>
    </row>
    <row r="799" spans="1:14">
      <c r="A799">
        <v>7932</v>
      </c>
      <c r="B799" t="s">
        <v>942</v>
      </c>
      <c r="C799" t="s">
        <v>755</v>
      </c>
      <c r="D799" t="s">
        <v>757</v>
      </c>
      <c r="E799">
        <v>836990</v>
      </c>
      <c r="G799" s="2">
        <v>0.24374999999999999</v>
      </c>
      <c r="H799" s="2">
        <v>0.37916666666666665</v>
      </c>
      <c r="J799">
        <v>3.0536723463698401</v>
      </c>
      <c r="K799" t="s">
        <v>773</v>
      </c>
      <c r="L799" t="str">
        <f t="shared" si="36"/>
        <v>33</v>
      </c>
      <c r="M799">
        <f t="shared" si="37"/>
        <v>0</v>
      </c>
      <c r="N799">
        <f t="shared" si="38"/>
        <v>0</v>
      </c>
    </row>
    <row r="800" spans="1:14">
      <c r="A800">
        <v>7932</v>
      </c>
      <c r="B800" t="s">
        <v>942</v>
      </c>
      <c r="C800" t="s">
        <v>755</v>
      </c>
      <c r="D800" t="s">
        <v>757</v>
      </c>
      <c r="E800">
        <v>836990</v>
      </c>
      <c r="G800" s="2">
        <v>0.37916666666666665</v>
      </c>
      <c r="H800" s="2">
        <v>0.5625</v>
      </c>
      <c r="J800">
        <v>4.13420256123917</v>
      </c>
      <c r="K800" t="s">
        <v>842</v>
      </c>
      <c r="L800" t="str">
        <f t="shared" si="36"/>
        <v>33</v>
      </c>
      <c r="M800">
        <f t="shared" si="37"/>
        <v>0</v>
      </c>
      <c r="N800">
        <f t="shared" si="38"/>
        <v>0</v>
      </c>
    </row>
    <row r="801" spans="1:14">
      <c r="A801">
        <v>7820</v>
      </c>
      <c r="B801" t="s">
        <v>943</v>
      </c>
      <c r="C801" t="s">
        <v>755</v>
      </c>
      <c r="D801" t="s">
        <v>777</v>
      </c>
      <c r="E801">
        <v>459409</v>
      </c>
      <c r="G801" s="2">
        <v>0.21875</v>
      </c>
      <c r="H801" s="2">
        <v>0.25069444444444444</v>
      </c>
      <c r="J801">
        <v>0.71979925902230102</v>
      </c>
      <c r="K801" t="s">
        <v>779</v>
      </c>
      <c r="L801" t="str">
        <f t="shared" si="36"/>
        <v>37</v>
      </c>
      <c r="M801">
        <f t="shared" si="37"/>
        <v>0</v>
      </c>
      <c r="N801">
        <f t="shared" si="38"/>
        <v>0</v>
      </c>
    </row>
    <row r="802" spans="1:14">
      <c r="A802">
        <v>7820</v>
      </c>
      <c r="B802" t="s">
        <v>943</v>
      </c>
      <c r="C802" t="s">
        <v>755</v>
      </c>
      <c r="D802" t="s">
        <v>777</v>
      </c>
      <c r="E802">
        <v>459409</v>
      </c>
      <c r="G802" s="2">
        <v>0.25069444444444444</v>
      </c>
      <c r="H802" s="2">
        <v>0.27500000000000002</v>
      </c>
      <c r="J802">
        <v>0.54767334925609901</v>
      </c>
      <c r="K802" t="s">
        <v>780</v>
      </c>
      <c r="L802" t="str">
        <f t="shared" si="36"/>
        <v>46</v>
      </c>
      <c r="M802">
        <f t="shared" si="37"/>
        <v>0</v>
      </c>
      <c r="N802">
        <f t="shared" si="38"/>
        <v>0</v>
      </c>
    </row>
    <row r="803" spans="1:14">
      <c r="A803">
        <v>7820</v>
      </c>
      <c r="B803" t="s">
        <v>943</v>
      </c>
      <c r="C803" t="s">
        <v>755</v>
      </c>
      <c r="D803" t="s">
        <v>777</v>
      </c>
      <c r="E803">
        <v>459409</v>
      </c>
      <c r="G803" s="2">
        <v>0.27500000000000002</v>
      </c>
      <c r="H803" s="2">
        <v>0.52916666666666667</v>
      </c>
      <c r="J803">
        <v>5.7270984522209201</v>
      </c>
      <c r="K803" t="s">
        <v>779</v>
      </c>
      <c r="L803" t="str">
        <f t="shared" si="36"/>
        <v>37</v>
      </c>
      <c r="M803">
        <f t="shared" si="37"/>
        <v>0</v>
      </c>
      <c r="N803">
        <f t="shared" si="38"/>
        <v>0</v>
      </c>
    </row>
    <row r="804" spans="1:14">
      <c r="A804">
        <v>7820</v>
      </c>
      <c r="B804" t="s">
        <v>943</v>
      </c>
      <c r="C804" t="s">
        <v>755</v>
      </c>
      <c r="D804" t="s">
        <v>777</v>
      </c>
      <c r="E804">
        <v>459409</v>
      </c>
      <c r="G804" s="2">
        <v>0.52916666666666667</v>
      </c>
      <c r="H804" s="2">
        <v>0.5625</v>
      </c>
      <c r="J804">
        <v>0.75109487897979299</v>
      </c>
      <c r="K804" t="s">
        <v>816</v>
      </c>
      <c r="L804" t="str">
        <f t="shared" si="36"/>
        <v>46</v>
      </c>
      <c r="M804">
        <f t="shared" si="37"/>
        <v>0</v>
      </c>
      <c r="N804">
        <f t="shared" si="38"/>
        <v>0</v>
      </c>
    </row>
    <row r="805" spans="1:14">
      <c r="A805">
        <v>7130</v>
      </c>
      <c r="B805" t="s">
        <v>944</v>
      </c>
      <c r="C805" t="s">
        <v>755</v>
      </c>
      <c r="D805" t="s">
        <v>757</v>
      </c>
      <c r="E805">
        <v>30302</v>
      </c>
      <c r="G805" s="2">
        <v>0.20972222222222223</v>
      </c>
      <c r="H805" s="2">
        <v>0.54236111111111118</v>
      </c>
      <c r="J805">
        <v>7.4792045742433801</v>
      </c>
      <c r="K805" t="s">
        <v>889</v>
      </c>
      <c r="L805" t="str">
        <f t="shared" si="36"/>
        <v>33</v>
      </c>
      <c r="M805">
        <f t="shared" si="37"/>
        <v>0</v>
      </c>
      <c r="N805">
        <f t="shared" si="38"/>
        <v>0</v>
      </c>
    </row>
    <row r="806" spans="1:14">
      <c r="A806">
        <v>7405</v>
      </c>
      <c r="B806" t="s">
        <v>1120</v>
      </c>
      <c r="C806" t="s">
        <v>754</v>
      </c>
      <c r="D806" t="s">
        <v>841</v>
      </c>
      <c r="E806">
        <v>49533</v>
      </c>
      <c r="G806" s="2">
        <v>0.20902777777777778</v>
      </c>
      <c r="H806" s="2">
        <v>0.62569444444444444</v>
      </c>
      <c r="J806">
        <v>9.5</v>
      </c>
      <c r="K806" t="s">
        <v>853</v>
      </c>
      <c r="L806" t="str">
        <f t="shared" si="36"/>
        <v>33</v>
      </c>
      <c r="M806">
        <f t="shared" si="37"/>
        <v>0</v>
      </c>
      <c r="N806">
        <f t="shared" si="38"/>
        <v>0</v>
      </c>
    </row>
    <row r="807" spans="1:14">
      <c r="A807">
        <v>7305</v>
      </c>
      <c r="B807" t="s">
        <v>1121</v>
      </c>
      <c r="C807" t="s">
        <v>755</v>
      </c>
      <c r="D807" t="s">
        <v>823</v>
      </c>
      <c r="E807">
        <v>35260</v>
      </c>
      <c r="G807" s="2">
        <v>0.5180555555555556</v>
      </c>
      <c r="H807" s="2">
        <v>0.53472222222222221</v>
      </c>
      <c r="J807">
        <v>0.39978024249834998</v>
      </c>
      <c r="K807" t="s">
        <v>759</v>
      </c>
      <c r="L807" t="str">
        <f t="shared" si="36"/>
        <v>33</v>
      </c>
      <c r="M807">
        <f t="shared" si="37"/>
        <v>0</v>
      </c>
      <c r="N807">
        <f t="shared" si="38"/>
        <v>0</v>
      </c>
    </row>
    <row r="808" spans="1:14">
      <c r="A808">
        <v>7305</v>
      </c>
      <c r="B808" t="s">
        <v>1121</v>
      </c>
      <c r="C808" t="s">
        <v>755</v>
      </c>
      <c r="D808" t="s">
        <v>823</v>
      </c>
      <c r="E808">
        <v>35260</v>
      </c>
      <c r="G808" s="2">
        <v>0.53472222222222221</v>
      </c>
      <c r="H808" s="2">
        <v>0.61527777777777781</v>
      </c>
      <c r="J808">
        <v>1.93227117207535</v>
      </c>
      <c r="K808" t="s">
        <v>763</v>
      </c>
      <c r="L808" t="str">
        <f t="shared" si="36"/>
        <v>33</v>
      </c>
      <c r="M808">
        <f t="shared" si="37"/>
        <v>0</v>
      </c>
      <c r="N808">
        <f t="shared" si="38"/>
        <v>0</v>
      </c>
    </row>
    <row r="809" spans="1:14">
      <c r="A809">
        <v>7305</v>
      </c>
      <c r="B809" t="s">
        <v>1121</v>
      </c>
      <c r="C809" t="s">
        <v>755</v>
      </c>
      <c r="D809" t="s">
        <v>823</v>
      </c>
      <c r="E809">
        <v>35260</v>
      </c>
      <c r="G809" s="2">
        <v>0.61527777777777781</v>
      </c>
      <c r="H809" s="2">
        <v>0.63611111111111118</v>
      </c>
      <c r="J809">
        <v>0.499725303122937</v>
      </c>
      <c r="K809" t="s">
        <v>773</v>
      </c>
      <c r="L809" t="str">
        <f t="shared" si="36"/>
        <v>33</v>
      </c>
      <c r="M809">
        <f t="shared" si="37"/>
        <v>0</v>
      </c>
      <c r="N809">
        <f t="shared" si="38"/>
        <v>0</v>
      </c>
    </row>
    <row r="810" spans="1:14">
      <c r="A810">
        <v>7305</v>
      </c>
      <c r="B810" t="s">
        <v>1121</v>
      </c>
      <c r="C810" t="s">
        <v>755</v>
      </c>
      <c r="D810" t="s">
        <v>823</v>
      </c>
      <c r="E810">
        <v>35260</v>
      </c>
      <c r="G810" s="2">
        <v>0.63611111111111118</v>
      </c>
      <c r="H810" s="2">
        <v>0.76249999999999996</v>
      </c>
      <c r="J810">
        <v>3.0316668389458101</v>
      </c>
      <c r="K810" t="s">
        <v>806</v>
      </c>
      <c r="L810" t="str">
        <f t="shared" si="36"/>
        <v>33</v>
      </c>
      <c r="M810">
        <f t="shared" si="37"/>
        <v>0</v>
      </c>
      <c r="N810">
        <f t="shared" si="38"/>
        <v>0</v>
      </c>
    </row>
    <row r="811" spans="1:14">
      <c r="A811">
        <v>7305</v>
      </c>
      <c r="B811" t="s">
        <v>1121</v>
      </c>
      <c r="C811" t="s">
        <v>755</v>
      </c>
      <c r="D811" t="s">
        <v>823</v>
      </c>
      <c r="E811">
        <v>35260</v>
      </c>
      <c r="G811" s="2">
        <v>0.76249999999999996</v>
      </c>
      <c r="H811" s="2">
        <v>0.89930555555555547</v>
      </c>
      <c r="J811">
        <v>3.28152949050728</v>
      </c>
      <c r="K811" t="s">
        <v>825</v>
      </c>
      <c r="L811" t="str">
        <f t="shared" si="36"/>
        <v>33</v>
      </c>
      <c r="M811">
        <f t="shared" si="37"/>
        <v>0</v>
      </c>
      <c r="N811">
        <f t="shared" si="38"/>
        <v>0</v>
      </c>
    </row>
    <row r="812" spans="1:14">
      <c r="A812">
        <v>7866</v>
      </c>
      <c r="B812" t="s">
        <v>946</v>
      </c>
      <c r="C812" t="s">
        <v>755</v>
      </c>
      <c r="E812">
        <v>529578</v>
      </c>
      <c r="G812" s="2">
        <v>0.4597222222222222</v>
      </c>
      <c r="H812" s="2">
        <v>0.55833333333333335</v>
      </c>
      <c r="J812">
        <v>2.2218557521810798</v>
      </c>
      <c r="K812" t="s">
        <v>816</v>
      </c>
      <c r="L812" t="str">
        <f t="shared" si="36"/>
        <v>46</v>
      </c>
      <c r="M812">
        <f t="shared" si="37"/>
        <v>0</v>
      </c>
      <c r="N812">
        <f t="shared" si="38"/>
        <v>0</v>
      </c>
    </row>
    <row r="813" spans="1:14">
      <c r="A813">
        <v>7866</v>
      </c>
      <c r="B813" t="s">
        <v>946</v>
      </c>
      <c r="C813" t="s">
        <v>755</v>
      </c>
      <c r="E813">
        <v>529578</v>
      </c>
      <c r="G813" s="2">
        <v>0.55833333333333335</v>
      </c>
      <c r="H813" s="2">
        <v>0.56111111111111112</v>
      </c>
      <c r="J813">
        <v>6.2587485976932006E-2</v>
      </c>
      <c r="K813" t="s">
        <v>815</v>
      </c>
      <c r="L813" t="str">
        <f t="shared" si="36"/>
        <v>46</v>
      </c>
      <c r="M813">
        <f t="shared" si="37"/>
        <v>0</v>
      </c>
      <c r="N813">
        <f t="shared" si="38"/>
        <v>0</v>
      </c>
    </row>
    <row r="814" spans="1:14">
      <c r="A814">
        <v>7866</v>
      </c>
      <c r="B814" t="s">
        <v>946</v>
      </c>
      <c r="C814" t="s">
        <v>755</v>
      </c>
      <c r="E814">
        <v>529578</v>
      </c>
      <c r="G814" s="2">
        <v>0.56111111111111112</v>
      </c>
      <c r="H814" s="2">
        <v>0.56180555555555556</v>
      </c>
      <c r="J814">
        <v>1.5646871494233001E-2</v>
      </c>
      <c r="K814" t="s">
        <v>816</v>
      </c>
      <c r="L814" t="str">
        <f t="shared" si="36"/>
        <v>46</v>
      </c>
      <c r="M814">
        <f t="shared" si="37"/>
        <v>0</v>
      </c>
      <c r="N814">
        <f t="shared" si="38"/>
        <v>0</v>
      </c>
    </row>
    <row r="815" spans="1:14">
      <c r="A815">
        <v>7866</v>
      </c>
      <c r="B815" t="s">
        <v>946</v>
      </c>
      <c r="C815" t="s">
        <v>755</v>
      </c>
      <c r="E815">
        <v>529578</v>
      </c>
      <c r="G815" s="2">
        <v>0.56180555555555556</v>
      </c>
      <c r="H815" s="2">
        <v>0.56388888888888888</v>
      </c>
      <c r="J815">
        <v>4.6940614482698997E-2</v>
      </c>
      <c r="K815" t="s">
        <v>815</v>
      </c>
      <c r="L815" t="str">
        <f t="shared" si="36"/>
        <v>46</v>
      </c>
      <c r="M815">
        <f t="shared" si="37"/>
        <v>0</v>
      </c>
      <c r="N815">
        <f t="shared" si="38"/>
        <v>0</v>
      </c>
    </row>
    <row r="816" spans="1:14">
      <c r="A816">
        <v>7866</v>
      </c>
      <c r="B816" t="s">
        <v>946</v>
      </c>
      <c r="C816" t="s">
        <v>755</v>
      </c>
      <c r="E816">
        <v>529578</v>
      </c>
      <c r="G816" s="2">
        <v>0.56388888888888888</v>
      </c>
      <c r="H816" s="2">
        <v>0.7680555555555556</v>
      </c>
      <c r="J816">
        <v>4.6001802193044998</v>
      </c>
      <c r="K816" t="s">
        <v>816</v>
      </c>
      <c r="L816" t="str">
        <f t="shared" si="36"/>
        <v>46</v>
      </c>
      <c r="M816">
        <f t="shared" si="37"/>
        <v>0</v>
      </c>
      <c r="N816">
        <f t="shared" si="38"/>
        <v>0</v>
      </c>
    </row>
    <row r="817" spans="1:14">
      <c r="A817">
        <v>7866</v>
      </c>
      <c r="B817" t="s">
        <v>946</v>
      </c>
      <c r="C817" t="s">
        <v>755</v>
      </c>
      <c r="E817">
        <v>529578</v>
      </c>
      <c r="G817" s="2">
        <v>0.7680555555555556</v>
      </c>
      <c r="H817" s="2">
        <v>0.79166666666666663</v>
      </c>
      <c r="J817">
        <v>0.53199363080392204</v>
      </c>
      <c r="K817" t="s">
        <v>759</v>
      </c>
      <c r="L817" t="str">
        <f t="shared" si="36"/>
        <v>33</v>
      </c>
      <c r="M817">
        <f t="shared" si="37"/>
        <v>0</v>
      </c>
      <c r="N817">
        <f t="shared" si="38"/>
        <v>0</v>
      </c>
    </row>
    <row r="818" spans="1:14">
      <c r="A818">
        <v>7416</v>
      </c>
      <c r="B818" t="s">
        <v>1232</v>
      </c>
      <c r="C818" t="s">
        <v>754</v>
      </c>
      <c r="D818" t="s">
        <v>830</v>
      </c>
      <c r="E818">
        <v>301209</v>
      </c>
      <c r="G818" s="2">
        <v>0.50208333333333333</v>
      </c>
      <c r="H818" s="2">
        <v>0.7895833333333333</v>
      </c>
      <c r="J818">
        <v>6.8961608860291799</v>
      </c>
      <c r="K818" t="s">
        <v>759</v>
      </c>
      <c r="L818" t="str">
        <f t="shared" si="36"/>
        <v>33</v>
      </c>
      <c r="M818">
        <f t="shared" si="37"/>
        <v>0</v>
      </c>
      <c r="N818">
        <f t="shared" si="38"/>
        <v>0</v>
      </c>
    </row>
    <row r="819" spans="1:14">
      <c r="A819">
        <v>7416</v>
      </c>
      <c r="B819" t="s">
        <v>1232</v>
      </c>
      <c r="C819" t="s">
        <v>754</v>
      </c>
      <c r="D819" t="s">
        <v>830</v>
      </c>
      <c r="E819">
        <v>301209</v>
      </c>
      <c r="G819" s="2">
        <v>0.7895833333333333</v>
      </c>
      <c r="H819" s="2">
        <v>0.82847222222222217</v>
      </c>
      <c r="J819">
        <v>0.93281403289283604</v>
      </c>
      <c r="K819" t="s">
        <v>773</v>
      </c>
      <c r="L819" t="str">
        <f t="shared" si="36"/>
        <v>33</v>
      </c>
      <c r="M819">
        <f t="shared" si="37"/>
        <v>0</v>
      </c>
      <c r="N819">
        <f t="shared" si="38"/>
        <v>0</v>
      </c>
    </row>
    <row r="820" spans="1:14">
      <c r="A820">
        <v>7416</v>
      </c>
      <c r="B820" t="s">
        <v>1232</v>
      </c>
      <c r="C820" t="s">
        <v>754</v>
      </c>
      <c r="D820" t="s">
        <v>830</v>
      </c>
      <c r="E820">
        <v>301209</v>
      </c>
      <c r="G820" s="2">
        <v>0.82847222222222217</v>
      </c>
      <c r="H820" s="2">
        <v>0.83680555555555547</v>
      </c>
      <c r="J820">
        <v>0.19988872133417901</v>
      </c>
      <c r="K820" t="s">
        <v>798</v>
      </c>
      <c r="L820" t="str">
        <f t="shared" si="36"/>
        <v>33</v>
      </c>
      <c r="M820">
        <f t="shared" si="37"/>
        <v>0</v>
      </c>
      <c r="N820">
        <f t="shared" si="38"/>
        <v>0</v>
      </c>
    </row>
    <row r="821" spans="1:14">
      <c r="A821">
        <v>7416</v>
      </c>
      <c r="B821" t="s">
        <v>1232</v>
      </c>
      <c r="C821" t="s">
        <v>754</v>
      </c>
      <c r="D821" t="s">
        <v>830</v>
      </c>
      <c r="E821">
        <v>301209</v>
      </c>
      <c r="G821" s="2">
        <v>0.83680555555555547</v>
      </c>
      <c r="H821" s="2">
        <v>0.89583333333333337</v>
      </c>
      <c r="J821">
        <v>1.4158784427837701</v>
      </c>
      <c r="K821" t="s">
        <v>759</v>
      </c>
      <c r="L821" t="str">
        <f t="shared" si="36"/>
        <v>33</v>
      </c>
      <c r="M821">
        <f t="shared" si="37"/>
        <v>0</v>
      </c>
      <c r="N821">
        <f t="shared" si="38"/>
        <v>0</v>
      </c>
    </row>
    <row r="822" spans="1:14">
      <c r="A822">
        <v>7971</v>
      </c>
      <c r="B822" t="s">
        <v>1233</v>
      </c>
      <c r="C822" t="s">
        <v>755</v>
      </c>
      <c r="D822" t="s">
        <v>777</v>
      </c>
      <c r="E822">
        <v>902888</v>
      </c>
      <c r="G822" s="2">
        <v>0.21527777777777779</v>
      </c>
      <c r="H822" s="2">
        <v>0.23125000000000001</v>
      </c>
      <c r="J822">
        <v>0.36362533355597598</v>
      </c>
      <c r="K822" t="s">
        <v>778</v>
      </c>
      <c r="L822" t="str">
        <f t="shared" si="36"/>
        <v>37</v>
      </c>
      <c r="M822">
        <f t="shared" si="37"/>
        <v>0</v>
      </c>
      <c r="N822">
        <f t="shared" si="38"/>
        <v>0</v>
      </c>
    </row>
    <row r="823" spans="1:14">
      <c r="A823">
        <v>7971</v>
      </c>
      <c r="B823" t="s">
        <v>1233</v>
      </c>
      <c r="C823" t="s">
        <v>755</v>
      </c>
      <c r="D823" t="s">
        <v>777</v>
      </c>
      <c r="E823">
        <v>902888</v>
      </c>
      <c r="G823" s="2">
        <v>0.23125000000000001</v>
      </c>
      <c r="H823" s="2">
        <v>0.40138888888888885</v>
      </c>
      <c r="J823">
        <v>3.8734002922266999</v>
      </c>
      <c r="K823" t="s">
        <v>870</v>
      </c>
      <c r="L823" t="str">
        <f t="shared" si="36"/>
        <v>37</v>
      </c>
      <c r="M823">
        <f t="shared" si="37"/>
        <v>0</v>
      </c>
      <c r="N823">
        <f t="shared" si="38"/>
        <v>0</v>
      </c>
    </row>
    <row r="824" spans="1:14">
      <c r="A824">
        <v>7971</v>
      </c>
      <c r="B824" t="s">
        <v>1233</v>
      </c>
      <c r="C824" t="s">
        <v>755</v>
      </c>
      <c r="D824" t="s">
        <v>777</v>
      </c>
      <c r="E824">
        <v>902888</v>
      </c>
      <c r="G824" s="2">
        <v>0.40138888888888885</v>
      </c>
      <c r="H824" s="2">
        <v>0.40763888888888888</v>
      </c>
      <c r="J824">
        <v>0.142288174000164</v>
      </c>
      <c r="K824" t="s">
        <v>798</v>
      </c>
      <c r="L824" t="str">
        <f t="shared" si="36"/>
        <v>33</v>
      </c>
      <c r="M824">
        <f t="shared" si="37"/>
        <v>0</v>
      </c>
      <c r="N824">
        <f t="shared" si="38"/>
        <v>0</v>
      </c>
    </row>
    <row r="825" spans="1:14">
      <c r="A825">
        <v>7971</v>
      </c>
      <c r="B825" t="s">
        <v>1233</v>
      </c>
      <c r="C825" t="s">
        <v>755</v>
      </c>
      <c r="D825" t="s">
        <v>777</v>
      </c>
      <c r="E825">
        <v>902888</v>
      </c>
      <c r="G825" s="2">
        <v>0.40763888888888888</v>
      </c>
      <c r="H825" s="2">
        <v>0.48958333333333331</v>
      </c>
      <c r="J825">
        <v>1.86555605911327</v>
      </c>
      <c r="K825" t="s">
        <v>768</v>
      </c>
      <c r="L825" t="str">
        <f t="shared" si="36"/>
        <v>46</v>
      </c>
      <c r="M825">
        <f t="shared" si="37"/>
        <v>0</v>
      </c>
      <c r="N825">
        <f t="shared" si="38"/>
        <v>0</v>
      </c>
    </row>
    <row r="826" spans="1:14">
      <c r="A826">
        <v>7971</v>
      </c>
      <c r="B826" t="s">
        <v>1233</v>
      </c>
      <c r="C826" t="s">
        <v>755</v>
      </c>
      <c r="D826" t="s">
        <v>777</v>
      </c>
      <c r="E826">
        <v>902888</v>
      </c>
      <c r="G826" s="2">
        <v>0.48958333333333331</v>
      </c>
      <c r="H826" s="2">
        <v>0.53194444444444444</v>
      </c>
      <c r="J826">
        <v>0.96439762377889704</v>
      </c>
      <c r="K826" t="s">
        <v>827</v>
      </c>
      <c r="L826" t="str">
        <f t="shared" si="36"/>
        <v>37</v>
      </c>
      <c r="M826">
        <f t="shared" si="37"/>
        <v>0</v>
      </c>
      <c r="N826">
        <f t="shared" si="38"/>
        <v>0</v>
      </c>
    </row>
    <row r="827" spans="1:14">
      <c r="A827">
        <v>7971</v>
      </c>
      <c r="B827" t="s">
        <v>1233</v>
      </c>
      <c r="C827" t="s">
        <v>755</v>
      </c>
      <c r="D827" t="s">
        <v>777</v>
      </c>
      <c r="E827">
        <v>902888</v>
      </c>
      <c r="G827" s="2">
        <v>0.53194444444444444</v>
      </c>
      <c r="H827" s="2">
        <v>0.625</v>
      </c>
      <c r="J827">
        <v>2.1185128128913302</v>
      </c>
      <c r="K827" t="s">
        <v>767</v>
      </c>
      <c r="L827" t="str">
        <f t="shared" si="36"/>
        <v>37</v>
      </c>
      <c r="M827">
        <f t="shared" si="37"/>
        <v>0</v>
      </c>
      <c r="N827">
        <f t="shared" si="38"/>
        <v>0</v>
      </c>
    </row>
    <row r="828" spans="1:14">
      <c r="A828">
        <v>4111</v>
      </c>
      <c r="B828" t="s">
        <v>1234</v>
      </c>
      <c r="C828" t="s">
        <v>756</v>
      </c>
      <c r="E828">
        <v>917723</v>
      </c>
      <c r="G828" s="2">
        <v>0.21875</v>
      </c>
      <c r="H828" s="2">
        <v>0.55208333333333337</v>
      </c>
      <c r="J828">
        <v>7.5</v>
      </c>
      <c r="K828" t="s">
        <v>870</v>
      </c>
      <c r="L828" t="str">
        <f t="shared" si="36"/>
        <v>37</v>
      </c>
      <c r="M828">
        <f t="shared" si="37"/>
        <v>0</v>
      </c>
      <c r="N828">
        <f t="shared" si="38"/>
        <v>0</v>
      </c>
    </row>
    <row r="829" spans="1:14">
      <c r="A829">
        <v>7870</v>
      </c>
      <c r="B829" t="s">
        <v>1122</v>
      </c>
      <c r="C829" t="s">
        <v>754</v>
      </c>
      <c r="D829" t="s">
        <v>766</v>
      </c>
      <c r="E829">
        <v>529538</v>
      </c>
      <c r="G829" s="2">
        <v>0.12708333333333333</v>
      </c>
      <c r="H829" s="2">
        <v>0.39305555555555555</v>
      </c>
      <c r="J829">
        <v>6.0589426896385596</v>
      </c>
      <c r="K829" t="s">
        <v>769</v>
      </c>
      <c r="L829" t="str">
        <f t="shared" si="36"/>
        <v>37</v>
      </c>
      <c r="M829">
        <f t="shared" si="37"/>
        <v>0</v>
      </c>
      <c r="N829">
        <f t="shared" si="38"/>
        <v>0</v>
      </c>
    </row>
    <row r="830" spans="1:14">
      <c r="A830">
        <v>7870</v>
      </c>
      <c r="B830" t="s">
        <v>1122</v>
      </c>
      <c r="C830" t="s">
        <v>754</v>
      </c>
      <c r="D830" t="s">
        <v>766</v>
      </c>
      <c r="E830">
        <v>529538</v>
      </c>
      <c r="G830" s="2">
        <v>0.39305555555555555</v>
      </c>
      <c r="H830" s="2">
        <v>0.47847222222222219</v>
      </c>
      <c r="J830">
        <v>1.9458223259152501</v>
      </c>
      <c r="K830" t="s">
        <v>778</v>
      </c>
      <c r="L830" t="str">
        <f t="shared" si="36"/>
        <v>37</v>
      </c>
      <c r="M830">
        <f t="shared" si="37"/>
        <v>0</v>
      </c>
      <c r="N830">
        <f t="shared" si="38"/>
        <v>0</v>
      </c>
    </row>
    <row r="831" spans="1:14">
      <c r="A831">
        <v>7870</v>
      </c>
      <c r="B831" t="s">
        <v>1122</v>
      </c>
      <c r="C831" t="s">
        <v>754</v>
      </c>
      <c r="D831" t="s">
        <v>766</v>
      </c>
      <c r="E831">
        <v>529538</v>
      </c>
      <c r="G831" s="2">
        <v>0.47847222222222219</v>
      </c>
      <c r="H831" s="2">
        <v>0.54166666666666663</v>
      </c>
      <c r="J831">
        <v>1.43959212730316</v>
      </c>
      <c r="K831" t="s">
        <v>769</v>
      </c>
      <c r="L831" t="str">
        <f t="shared" si="36"/>
        <v>37</v>
      </c>
      <c r="M831">
        <f t="shared" si="37"/>
        <v>0</v>
      </c>
      <c r="N831">
        <f t="shared" si="38"/>
        <v>0</v>
      </c>
    </row>
    <row r="832" spans="1:14">
      <c r="A832">
        <v>7394</v>
      </c>
      <c r="B832" t="s">
        <v>1123</v>
      </c>
      <c r="C832" t="s">
        <v>754</v>
      </c>
      <c r="D832" t="s">
        <v>835</v>
      </c>
      <c r="E832">
        <v>47440</v>
      </c>
      <c r="G832" s="2">
        <v>0.13194444444444445</v>
      </c>
      <c r="H832" s="2">
        <v>0.21111111111111111</v>
      </c>
      <c r="J832">
        <v>1.80247968007084</v>
      </c>
      <c r="K832" t="s">
        <v>799</v>
      </c>
      <c r="L832" t="str">
        <f t="shared" si="36"/>
        <v>33</v>
      </c>
      <c r="M832">
        <f t="shared" si="37"/>
        <v>0</v>
      </c>
      <c r="N832">
        <f t="shared" si="38"/>
        <v>0</v>
      </c>
    </row>
    <row r="833" spans="1:14">
      <c r="A833">
        <v>7394</v>
      </c>
      <c r="B833" t="s">
        <v>1123</v>
      </c>
      <c r="C833" t="s">
        <v>754</v>
      </c>
      <c r="D833" t="s">
        <v>835</v>
      </c>
      <c r="E833">
        <v>47440</v>
      </c>
      <c r="G833" s="2">
        <v>0.21111111111111111</v>
      </c>
      <c r="H833" s="2">
        <v>0.22361111111111109</v>
      </c>
      <c r="J833">
        <v>0.28460205474802702</v>
      </c>
      <c r="K833" t="s">
        <v>764</v>
      </c>
      <c r="L833" t="str">
        <f t="shared" si="36"/>
        <v>33</v>
      </c>
      <c r="M833">
        <f t="shared" si="37"/>
        <v>0</v>
      </c>
      <c r="N833">
        <f t="shared" si="38"/>
        <v>0</v>
      </c>
    </row>
    <row r="834" spans="1:14">
      <c r="A834">
        <v>7394</v>
      </c>
      <c r="B834" t="s">
        <v>1123</v>
      </c>
      <c r="C834" t="s">
        <v>754</v>
      </c>
      <c r="D834" t="s">
        <v>835</v>
      </c>
      <c r="E834">
        <v>47440</v>
      </c>
      <c r="G834" s="2">
        <v>0.22361111111111109</v>
      </c>
      <c r="H834" s="2">
        <v>0.23402777777777781</v>
      </c>
      <c r="J834">
        <v>0.23716837895668899</v>
      </c>
      <c r="K834" t="s">
        <v>773</v>
      </c>
      <c r="L834" t="str">
        <f t="shared" ref="L834:L897" si="39">RIGHT(LEFT(K834,4),2)</f>
        <v>33</v>
      </c>
      <c r="M834">
        <f t="shared" ref="M834:M897" si="40">IF(I834=0,0,I834-H834)+IF(F834=0,0,G834-F834)</f>
        <v>0</v>
      </c>
      <c r="N834">
        <f t="shared" ref="N834:N897" si="41">(M834-INT(M834))*24</f>
        <v>0</v>
      </c>
    </row>
    <row r="835" spans="1:14">
      <c r="A835">
        <v>7394</v>
      </c>
      <c r="B835" t="s">
        <v>1123</v>
      </c>
      <c r="C835" t="s">
        <v>754</v>
      </c>
      <c r="D835" t="s">
        <v>835</v>
      </c>
      <c r="E835">
        <v>47440</v>
      </c>
      <c r="G835" s="2">
        <v>0.23402777777777781</v>
      </c>
      <c r="H835" s="2">
        <v>0.39513888888888887</v>
      </c>
      <c r="J835">
        <v>3.6682042611968</v>
      </c>
      <c r="K835" t="s">
        <v>801</v>
      </c>
      <c r="L835" t="str">
        <f t="shared" si="39"/>
        <v>33</v>
      </c>
      <c r="M835">
        <f t="shared" si="40"/>
        <v>0</v>
      </c>
      <c r="N835">
        <f t="shared" si="41"/>
        <v>0</v>
      </c>
    </row>
    <row r="836" spans="1:14">
      <c r="A836">
        <v>7394</v>
      </c>
      <c r="B836" t="s">
        <v>1123</v>
      </c>
      <c r="C836" t="s">
        <v>754</v>
      </c>
      <c r="D836" t="s">
        <v>835</v>
      </c>
      <c r="E836">
        <v>47440</v>
      </c>
      <c r="G836" s="2">
        <v>0.39513888888888887</v>
      </c>
      <c r="H836" s="2">
        <v>0.4201388888888889</v>
      </c>
      <c r="J836">
        <v>0.56920410949605504</v>
      </c>
      <c r="K836" t="s">
        <v>763</v>
      </c>
      <c r="L836" t="str">
        <f t="shared" si="39"/>
        <v>33</v>
      </c>
      <c r="M836">
        <f t="shared" si="40"/>
        <v>0</v>
      </c>
      <c r="N836">
        <f t="shared" si="41"/>
        <v>0</v>
      </c>
    </row>
    <row r="837" spans="1:14">
      <c r="A837">
        <v>7394</v>
      </c>
      <c r="B837" t="s">
        <v>1123</v>
      </c>
      <c r="C837" t="s">
        <v>754</v>
      </c>
      <c r="D837" t="s">
        <v>835</v>
      </c>
      <c r="E837">
        <v>47440</v>
      </c>
      <c r="G837" s="2">
        <v>0.4201388888888889</v>
      </c>
      <c r="H837" s="2">
        <v>0.54236111111111118</v>
      </c>
      <c r="J837">
        <v>2.7827756464251499</v>
      </c>
      <c r="K837" t="s">
        <v>801</v>
      </c>
      <c r="L837" t="str">
        <f t="shared" si="39"/>
        <v>33</v>
      </c>
      <c r="M837">
        <f t="shared" si="40"/>
        <v>0</v>
      </c>
      <c r="N837">
        <f t="shared" si="41"/>
        <v>0</v>
      </c>
    </row>
    <row r="838" spans="1:14">
      <c r="A838">
        <v>7965</v>
      </c>
      <c r="B838" t="s">
        <v>1235</v>
      </c>
      <c r="C838" t="s">
        <v>755</v>
      </c>
      <c r="D838" t="s">
        <v>947</v>
      </c>
      <c r="E838">
        <v>841283</v>
      </c>
      <c r="G838" s="2">
        <v>0.30208333333333331</v>
      </c>
      <c r="H838" s="2">
        <v>0.49444444444444446</v>
      </c>
      <c r="J838">
        <v>4.6274253790901101</v>
      </c>
      <c r="K838" t="s">
        <v>948</v>
      </c>
      <c r="L838" t="str">
        <f t="shared" si="39"/>
        <v>46</v>
      </c>
      <c r="M838">
        <f t="shared" si="40"/>
        <v>0</v>
      </c>
      <c r="N838">
        <f t="shared" si="41"/>
        <v>0</v>
      </c>
    </row>
    <row r="839" spans="1:14">
      <c r="A839">
        <v>7965</v>
      </c>
      <c r="B839" t="s">
        <v>1235</v>
      </c>
      <c r="C839" t="s">
        <v>755</v>
      </c>
      <c r="D839" t="s">
        <v>947</v>
      </c>
      <c r="E839">
        <v>841283</v>
      </c>
      <c r="G839" s="2">
        <v>0.49444444444444446</v>
      </c>
      <c r="H839" s="2">
        <v>0.55069444444444449</v>
      </c>
      <c r="J839">
        <v>1.35314604948122</v>
      </c>
      <c r="K839" t="s">
        <v>870</v>
      </c>
      <c r="L839" t="str">
        <f t="shared" si="39"/>
        <v>37</v>
      </c>
      <c r="M839">
        <f t="shared" si="40"/>
        <v>0</v>
      </c>
      <c r="N839">
        <f t="shared" si="41"/>
        <v>0</v>
      </c>
    </row>
    <row r="840" spans="1:14">
      <c r="A840">
        <v>7544</v>
      </c>
      <c r="B840" t="s">
        <v>1236</v>
      </c>
      <c r="C840" t="s">
        <v>754</v>
      </c>
      <c r="D840" t="s">
        <v>802</v>
      </c>
      <c r="E840">
        <v>333645</v>
      </c>
      <c r="G840" s="2">
        <v>0.50277777777777777</v>
      </c>
      <c r="H840" s="2">
        <v>0.50902777777777775</v>
      </c>
      <c r="J840">
        <v>0.14991659757847101</v>
      </c>
      <c r="K840" t="s">
        <v>842</v>
      </c>
      <c r="L840" t="str">
        <f t="shared" si="39"/>
        <v>33</v>
      </c>
      <c r="M840">
        <f t="shared" si="40"/>
        <v>0</v>
      </c>
      <c r="N840">
        <f t="shared" si="41"/>
        <v>0</v>
      </c>
    </row>
    <row r="841" spans="1:14">
      <c r="A841">
        <v>7544</v>
      </c>
      <c r="B841" t="s">
        <v>1236</v>
      </c>
      <c r="C841" t="s">
        <v>754</v>
      </c>
      <c r="D841" t="s">
        <v>802</v>
      </c>
      <c r="E841">
        <v>333645</v>
      </c>
      <c r="G841" s="2">
        <v>0.50902777777777775</v>
      </c>
      <c r="H841" s="2">
        <v>0.55833333333333335</v>
      </c>
      <c r="J841">
        <v>1.18267538089682</v>
      </c>
      <c r="K841" t="s">
        <v>780</v>
      </c>
      <c r="L841" t="str">
        <f t="shared" si="39"/>
        <v>46</v>
      </c>
      <c r="M841">
        <f t="shared" si="40"/>
        <v>0</v>
      </c>
      <c r="N841">
        <f t="shared" si="41"/>
        <v>0</v>
      </c>
    </row>
    <row r="842" spans="1:14">
      <c r="A842">
        <v>7544</v>
      </c>
      <c r="B842" t="s">
        <v>1236</v>
      </c>
      <c r="C842" t="s">
        <v>754</v>
      </c>
      <c r="D842" t="s">
        <v>802</v>
      </c>
      <c r="E842">
        <v>333645</v>
      </c>
      <c r="G842" s="2">
        <v>0.55833333333333335</v>
      </c>
      <c r="H842" s="2">
        <v>0.68402777777777779</v>
      </c>
      <c r="J842">
        <v>3.0149893513003598</v>
      </c>
      <c r="K842" t="s">
        <v>779</v>
      </c>
      <c r="L842" t="str">
        <f t="shared" si="39"/>
        <v>37</v>
      </c>
      <c r="M842">
        <f t="shared" si="40"/>
        <v>0</v>
      </c>
      <c r="N842">
        <f t="shared" si="41"/>
        <v>0</v>
      </c>
    </row>
    <row r="843" spans="1:14">
      <c r="A843">
        <v>7544</v>
      </c>
      <c r="B843" t="s">
        <v>1236</v>
      </c>
      <c r="C843" t="s">
        <v>754</v>
      </c>
      <c r="D843" t="s">
        <v>802</v>
      </c>
      <c r="E843">
        <v>333645</v>
      </c>
      <c r="G843" s="2">
        <v>0.68402777777777779</v>
      </c>
      <c r="H843" s="2">
        <v>0.7368055555555556</v>
      </c>
      <c r="J843">
        <v>1.26596237955153</v>
      </c>
      <c r="K843" t="s">
        <v>780</v>
      </c>
      <c r="L843" t="str">
        <f t="shared" si="39"/>
        <v>46</v>
      </c>
      <c r="M843">
        <f t="shared" si="40"/>
        <v>0</v>
      </c>
      <c r="N843">
        <f t="shared" si="41"/>
        <v>0</v>
      </c>
    </row>
    <row r="844" spans="1:14">
      <c r="A844">
        <v>7544</v>
      </c>
      <c r="B844" t="s">
        <v>1236</v>
      </c>
      <c r="C844" t="s">
        <v>754</v>
      </c>
      <c r="D844" t="s">
        <v>802</v>
      </c>
      <c r="E844">
        <v>333645</v>
      </c>
      <c r="G844" s="2">
        <v>0.7368055555555556</v>
      </c>
      <c r="H844" s="2">
        <v>0.89583333333333337</v>
      </c>
      <c r="J844">
        <v>3.8145445383855399</v>
      </c>
      <c r="K844" t="s">
        <v>779</v>
      </c>
      <c r="L844" t="str">
        <f t="shared" si="39"/>
        <v>37</v>
      </c>
      <c r="M844">
        <f t="shared" si="40"/>
        <v>0</v>
      </c>
      <c r="N844">
        <f t="shared" si="41"/>
        <v>0</v>
      </c>
    </row>
    <row r="845" spans="1:14">
      <c r="A845">
        <v>7650</v>
      </c>
      <c r="B845" t="s">
        <v>1124</v>
      </c>
      <c r="C845" t="s">
        <v>754</v>
      </c>
      <c r="D845" t="s">
        <v>766</v>
      </c>
      <c r="E845">
        <v>178360</v>
      </c>
      <c r="G845" s="2">
        <v>0.12708333333333333</v>
      </c>
      <c r="H845" s="2">
        <v>0.21180555555555555</v>
      </c>
      <c r="J845">
        <v>1.9300026322086199</v>
      </c>
      <c r="K845" t="s">
        <v>869</v>
      </c>
      <c r="L845" t="str">
        <f t="shared" si="39"/>
        <v>37</v>
      </c>
      <c r="M845">
        <f t="shared" si="40"/>
        <v>0</v>
      </c>
      <c r="N845">
        <f t="shared" si="41"/>
        <v>0</v>
      </c>
    </row>
    <row r="846" spans="1:14">
      <c r="A846">
        <v>7650</v>
      </c>
      <c r="B846" t="s">
        <v>1124</v>
      </c>
      <c r="C846" t="s">
        <v>754</v>
      </c>
      <c r="D846" t="s">
        <v>766</v>
      </c>
      <c r="E846">
        <v>178360</v>
      </c>
      <c r="G846" s="2">
        <v>0.21180555555555555</v>
      </c>
      <c r="H846" s="2">
        <v>0.33680555555555558</v>
      </c>
      <c r="J846">
        <v>2.8475448671930601</v>
      </c>
      <c r="K846" t="s">
        <v>1132</v>
      </c>
      <c r="L846" t="str">
        <f t="shared" si="39"/>
        <v>33</v>
      </c>
      <c r="M846">
        <f t="shared" si="40"/>
        <v>0</v>
      </c>
      <c r="N846">
        <f t="shared" si="41"/>
        <v>0</v>
      </c>
    </row>
    <row r="847" spans="1:14">
      <c r="A847">
        <v>7650</v>
      </c>
      <c r="B847" t="s">
        <v>1124</v>
      </c>
      <c r="C847" t="s">
        <v>754</v>
      </c>
      <c r="D847" t="s">
        <v>766</v>
      </c>
      <c r="E847">
        <v>178360</v>
      </c>
      <c r="G847" s="2">
        <v>0.33680555555555558</v>
      </c>
      <c r="H847" s="2">
        <v>0.50277777777777777</v>
      </c>
      <c r="J847">
        <v>3.78090679588411</v>
      </c>
      <c r="K847" t="s">
        <v>779</v>
      </c>
      <c r="L847" t="str">
        <f t="shared" si="39"/>
        <v>37</v>
      </c>
      <c r="M847">
        <f t="shared" si="40"/>
        <v>0</v>
      </c>
      <c r="N847">
        <f t="shared" si="41"/>
        <v>0</v>
      </c>
    </row>
    <row r="848" spans="1:14">
      <c r="A848">
        <v>7650</v>
      </c>
      <c r="B848" t="s">
        <v>1124</v>
      </c>
      <c r="C848" t="s">
        <v>754</v>
      </c>
      <c r="D848" t="s">
        <v>766</v>
      </c>
      <c r="E848">
        <v>178360</v>
      </c>
      <c r="G848" s="2">
        <v>0.50277777777777777</v>
      </c>
      <c r="H848" s="2">
        <v>0.54166666666666663</v>
      </c>
      <c r="J848">
        <v>0.88590284757117399</v>
      </c>
      <c r="K848" t="s">
        <v>1066</v>
      </c>
      <c r="L848" t="str">
        <f t="shared" si="39"/>
        <v>37</v>
      </c>
      <c r="M848">
        <f t="shared" si="40"/>
        <v>0</v>
      </c>
      <c r="N848">
        <f t="shared" si="41"/>
        <v>0</v>
      </c>
    </row>
    <row r="849" spans="1:14">
      <c r="A849">
        <v>7944</v>
      </c>
      <c r="B849" t="s">
        <v>1237</v>
      </c>
      <c r="C849" t="s">
        <v>755</v>
      </c>
      <c r="D849" t="s">
        <v>852</v>
      </c>
      <c r="E849">
        <v>837861</v>
      </c>
      <c r="G849" s="2">
        <v>5.9722222222222225E-2</v>
      </c>
      <c r="H849" s="2">
        <v>0.28333333333333333</v>
      </c>
      <c r="J849">
        <v>5.0423121544598803</v>
      </c>
      <c r="K849" t="s">
        <v>871</v>
      </c>
      <c r="L849" t="str">
        <f t="shared" si="39"/>
        <v>37</v>
      </c>
      <c r="M849">
        <f t="shared" si="40"/>
        <v>0</v>
      </c>
      <c r="N849">
        <f t="shared" si="41"/>
        <v>0</v>
      </c>
    </row>
    <row r="850" spans="1:14">
      <c r="A850">
        <v>7944</v>
      </c>
      <c r="B850" t="s">
        <v>1237</v>
      </c>
      <c r="C850" t="s">
        <v>755</v>
      </c>
      <c r="D850" t="s">
        <v>852</v>
      </c>
      <c r="E850">
        <v>837861</v>
      </c>
      <c r="G850" s="2">
        <v>0.28333333333333333</v>
      </c>
      <c r="H850" s="2">
        <v>0.39583333333333331</v>
      </c>
      <c r="J850">
        <v>2.5368154317468901</v>
      </c>
      <c r="K850" t="s">
        <v>778</v>
      </c>
      <c r="L850" t="str">
        <f t="shared" si="39"/>
        <v>37</v>
      </c>
      <c r="M850">
        <f t="shared" si="40"/>
        <v>0</v>
      </c>
      <c r="N850">
        <f t="shared" si="41"/>
        <v>0</v>
      </c>
    </row>
    <row r="851" spans="1:14">
      <c r="A851">
        <v>7977</v>
      </c>
      <c r="B851" t="s">
        <v>1238</v>
      </c>
      <c r="C851" t="s">
        <v>755</v>
      </c>
      <c r="D851" t="s">
        <v>1173</v>
      </c>
      <c r="E851">
        <v>902500</v>
      </c>
      <c r="G851" s="2">
        <v>0.47291666666666665</v>
      </c>
      <c r="H851" s="2">
        <v>0.72013888888888899</v>
      </c>
      <c r="J851">
        <v>5.9306428571427698</v>
      </c>
      <c r="K851" t="s">
        <v>870</v>
      </c>
      <c r="L851" t="str">
        <f t="shared" si="39"/>
        <v>37</v>
      </c>
      <c r="M851">
        <f t="shared" si="40"/>
        <v>0</v>
      </c>
      <c r="N851">
        <f t="shared" si="41"/>
        <v>0</v>
      </c>
    </row>
    <row r="852" spans="1:14">
      <c r="A852">
        <v>7208</v>
      </c>
      <c r="B852" t="s">
        <v>949</v>
      </c>
      <c r="C852" t="s">
        <v>754</v>
      </c>
      <c r="D852" t="s">
        <v>795</v>
      </c>
      <c r="E852">
        <v>258569</v>
      </c>
      <c r="G852" s="2">
        <v>0.84513888888888899</v>
      </c>
      <c r="H852" s="2">
        <v>0.87986111111111109</v>
      </c>
      <c r="J852">
        <v>0.83437994790107495</v>
      </c>
      <c r="K852" t="s">
        <v>767</v>
      </c>
      <c r="L852" t="str">
        <f t="shared" si="39"/>
        <v>37</v>
      </c>
      <c r="M852">
        <f t="shared" si="40"/>
        <v>0</v>
      </c>
      <c r="N852">
        <f t="shared" si="41"/>
        <v>0</v>
      </c>
    </row>
    <row r="853" spans="1:14">
      <c r="A853">
        <v>7208</v>
      </c>
      <c r="B853" t="s">
        <v>949</v>
      </c>
      <c r="C853" t="s">
        <v>754</v>
      </c>
      <c r="D853" t="s">
        <v>795</v>
      </c>
      <c r="E853">
        <v>258569</v>
      </c>
      <c r="G853" s="2">
        <v>0.87986111111111109</v>
      </c>
      <c r="H853" s="2">
        <v>0.9819444444444444</v>
      </c>
      <c r="J853">
        <v>2.4530770468291601</v>
      </c>
      <c r="K853" t="s">
        <v>799</v>
      </c>
      <c r="L853" t="str">
        <f t="shared" si="39"/>
        <v>33</v>
      </c>
      <c r="M853">
        <f t="shared" si="40"/>
        <v>0</v>
      </c>
      <c r="N853">
        <f t="shared" si="41"/>
        <v>0</v>
      </c>
    </row>
    <row r="854" spans="1:14">
      <c r="A854">
        <v>7208</v>
      </c>
      <c r="B854" t="s">
        <v>949</v>
      </c>
      <c r="C854" t="s">
        <v>754</v>
      </c>
      <c r="D854" t="s">
        <v>795</v>
      </c>
      <c r="E854">
        <v>258569</v>
      </c>
      <c r="G854" s="2">
        <v>0.9819444444444444</v>
      </c>
      <c r="H854" s="2">
        <v>0.11388888888888889</v>
      </c>
      <c r="J854">
        <v>3.1706438020241201</v>
      </c>
      <c r="K854" t="s">
        <v>796</v>
      </c>
      <c r="L854" t="str">
        <f t="shared" si="39"/>
        <v>37</v>
      </c>
      <c r="M854">
        <f t="shared" si="40"/>
        <v>0</v>
      </c>
      <c r="N854">
        <f t="shared" si="41"/>
        <v>0</v>
      </c>
    </row>
    <row r="855" spans="1:14">
      <c r="A855">
        <v>7208</v>
      </c>
      <c r="B855" t="s">
        <v>949</v>
      </c>
      <c r="C855" t="s">
        <v>754</v>
      </c>
      <c r="D855" t="s">
        <v>795</v>
      </c>
      <c r="E855">
        <v>258569</v>
      </c>
      <c r="G855" s="2">
        <v>0.11388888888888889</v>
      </c>
      <c r="H855" s="2">
        <v>0.13750000000000001</v>
      </c>
      <c r="J855">
        <v>0.56737836457273105</v>
      </c>
      <c r="K855" t="s">
        <v>797</v>
      </c>
      <c r="L855" t="str">
        <f t="shared" si="39"/>
        <v>37</v>
      </c>
      <c r="M855">
        <f t="shared" si="40"/>
        <v>0</v>
      </c>
      <c r="N855">
        <f t="shared" si="41"/>
        <v>0</v>
      </c>
    </row>
    <row r="856" spans="1:14">
      <c r="A856">
        <v>7208</v>
      </c>
      <c r="B856" t="s">
        <v>949</v>
      </c>
      <c r="C856" t="s">
        <v>754</v>
      </c>
      <c r="D856" t="s">
        <v>795</v>
      </c>
      <c r="E856">
        <v>258569</v>
      </c>
      <c r="G856" s="2">
        <v>0.13750000000000001</v>
      </c>
      <c r="H856" s="2">
        <v>0.1451388888888889</v>
      </c>
      <c r="J856">
        <v>0.18356358853823601</v>
      </c>
      <c r="K856" t="s">
        <v>767</v>
      </c>
      <c r="L856" t="str">
        <f t="shared" si="39"/>
        <v>37</v>
      </c>
      <c r="M856">
        <f t="shared" si="40"/>
        <v>0</v>
      </c>
      <c r="N856">
        <f t="shared" si="41"/>
        <v>0</v>
      </c>
    </row>
    <row r="857" spans="1:14">
      <c r="A857">
        <v>7208</v>
      </c>
      <c r="B857" t="s">
        <v>949</v>
      </c>
      <c r="C857" t="s">
        <v>754</v>
      </c>
      <c r="D857" t="s">
        <v>795</v>
      </c>
      <c r="E857">
        <v>258569</v>
      </c>
      <c r="G857" s="2">
        <v>0.1451388888888889</v>
      </c>
      <c r="H857" s="2">
        <v>0.14583333333333334</v>
      </c>
      <c r="J857">
        <v>1.66875989580215E-2</v>
      </c>
      <c r="K857" t="s">
        <v>796</v>
      </c>
      <c r="L857" t="str">
        <f t="shared" si="39"/>
        <v>37</v>
      </c>
      <c r="M857">
        <f t="shared" si="40"/>
        <v>0</v>
      </c>
      <c r="N857">
        <f t="shared" si="41"/>
        <v>0</v>
      </c>
    </row>
    <row r="858" spans="1:14">
      <c r="A858">
        <v>7208</v>
      </c>
      <c r="B858" t="s">
        <v>949</v>
      </c>
      <c r="C858" t="s">
        <v>754</v>
      </c>
      <c r="D858" t="s">
        <v>795</v>
      </c>
      <c r="E858">
        <v>258569</v>
      </c>
      <c r="G858" s="2">
        <v>0.14583333333333334</v>
      </c>
      <c r="H858" s="2">
        <v>0.15555555555555556</v>
      </c>
      <c r="J858">
        <v>0.23362638541229999</v>
      </c>
      <c r="K858" t="s">
        <v>767</v>
      </c>
      <c r="L858" t="str">
        <f t="shared" si="39"/>
        <v>37</v>
      </c>
      <c r="M858">
        <f t="shared" si="40"/>
        <v>0</v>
      </c>
      <c r="N858">
        <f t="shared" si="41"/>
        <v>0</v>
      </c>
    </row>
    <row r="859" spans="1:14">
      <c r="A859">
        <v>7208</v>
      </c>
      <c r="B859" t="s">
        <v>949</v>
      </c>
      <c r="C859" t="s">
        <v>754</v>
      </c>
      <c r="D859" t="s">
        <v>795</v>
      </c>
      <c r="E859">
        <v>258569</v>
      </c>
      <c r="G859" s="2">
        <v>0.15555555555555556</v>
      </c>
      <c r="H859" s="2">
        <v>0.15625</v>
      </c>
      <c r="J859">
        <v>1.66875989580215E-2</v>
      </c>
      <c r="K859" t="s">
        <v>796</v>
      </c>
      <c r="L859" t="str">
        <f t="shared" si="39"/>
        <v>37</v>
      </c>
      <c r="M859">
        <f t="shared" si="40"/>
        <v>0</v>
      </c>
      <c r="N859">
        <f t="shared" si="41"/>
        <v>0</v>
      </c>
    </row>
    <row r="860" spans="1:14">
      <c r="A860">
        <v>7208</v>
      </c>
      <c r="B860" t="s">
        <v>949</v>
      </c>
      <c r="C860" t="s">
        <v>754</v>
      </c>
      <c r="D860" t="s">
        <v>795</v>
      </c>
      <c r="E860">
        <v>258569</v>
      </c>
      <c r="G860" s="2">
        <v>0.15625</v>
      </c>
      <c r="H860" s="2">
        <v>0.15833333333333333</v>
      </c>
      <c r="J860">
        <v>5.0062796874064501E-2</v>
      </c>
      <c r="K860" t="s">
        <v>767</v>
      </c>
      <c r="L860" t="str">
        <f t="shared" si="39"/>
        <v>37</v>
      </c>
      <c r="M860">
        <f t="shared" si="40"/>
        <v>0</v>
      </c>
      <c r="N860">
        <f t="shared" si="41"/>
        <v>0</v>
      </c>
    </row>
    <row r="861" spans="1:14">
      <c r="A861">
        <v>7208</v>
      </c>
      <c r="B861" t="s">
        <v>949</v>
      </c>
      <c r="C861" t="s">
        <v>754</v>
      </c>
      <c r="D861" t="s">
        <v>795</v>
      </c>
      <c r="E861">
        <v>258569</v>
      </c>
      <c r="G861" s="2">
        <v>0.15833333333333333</v>
      </c>
      <c r="H861" s="2">
        <v>0.19166666666666665</v>
      </c>
      <c r="J861">
        <v>0.80100474998503202</v>
      </c>
      <c r="K861" t="s">
        <v>796</v>
      </c>
      <c r="L861" t="str">
        <f t="shared" si="39"/>
        <v>37</v>
      </c>
      <c r="M861">
        <f t="shared" si="40"/>
        <v>0</v>
      </c>
      <c r="N861">
        <f t="shared" si="41"/>
        <v>0</v>
      </c>
    </row>
    <row r="862" spans="1:14">
      <c r="A862">
        <v>7208</v>
      </c>
      <c r="B862" t="s">
        <v>949</v>
      </c>
      <c r="C862" t="s">
        <v>754</v>
      </c>
      <c r="D862" t="s">
        <v>795</v>
      </c>
      <c r="E862">
        <v>258569</v>
      </c>
      <c r="G862" s="2">
        <v>0.19166666666666665</v>
      </c>
      <c r="H862" s="2">
        <v>0.21249999999999999</v>
      </c>
      <c r="J862">
        <v>0.50062796874064497</v>
      </c>
      <c r="K862" t="s">
        <v>799</v>
      </c>
      <c r="L862" t="str">
        <f t="shared" si="39"/>
        <v>33</v>
      </c>
      <c r="M862">
        <f t="shared" si="40"/>
        <v>0</v>
      </c>
      <c r="N862">
        <f t="shared" si="41"/>
        <v>0</v>
      </c>
    </row>
    <row r="863" spans="1:14">
      <c r="A863">
        <v>7208</v>
      </c>
      <c r="B863" t="s">
        <v>949</v>
      </c>
      <c r="C863" t="s">
        <v>754</v>
      </c>
      <c r="D863" t="s">
        <v>795</v>
      </c>
      <c r="E863">
        <v>258569</v>
      </c>
      <c r="G863" s="2">
        <v>0.21249999999999999</v>
      </c>
      <c r="H863" s="2">
        <v>0.22916666666666666</v>
      </c>
      <c r="J863">
        <v>0.40050237499251601</v>
      </c>
      <c r="K863" t="s">
        <v>764</v>
      </c>
      <c r="L863" t="str">
        <f t="shared" si="39"/>
        <v>33</v>
      </c>
      <c r="M863">
        <f t="shared" si="40"/>
        <v>0</v>
      </c>
      <c r="N863">
        <f t="shared" si="41"/>
        <v>0</v>
      </c>
    </row>
    <row r="864" spans="1:14">
      <c r="A864">
        <v>4090</v>
      </c>
      <c r="B864" t="s">
        <v>950</v>
      </c>
      <c r="C864" t="s">
        <v>756</v>
      </c>
      <c r="E864">
        <v>909059</v>
      </c>
      <c r="G864" s="2">
        <v>0.45833333333333331</v>
      </c>
      <c r="H864" s="2">
        <v>0.4826388888888889</v>
      </c>
      <c r="J864">
        <v>0.546874999999999</v>
      </c>
      <c r="K864" t="s">
        <v>816</v>
      </c>
      <c r="L864" t="str">
        <f t="shared" si="39"/>
        <v>46</v>
      </c>
      <c r="M864">
        <f t="shared" si="40"/>
        <v>0</v>
      </c>
      <c r="N864">
        <f t="shared" si="41"/>
        <v>0</v>
      </c>
    </row>
    <row r="865" spans="1:14">
      <c r="A865">
        <v>4090</v>
      </c>
      <c r="B865" t="s">
        <v>950</v>
      </c>
      <c r="C865" t="s">
        <v>756</v>
      </c>
      <c r="E865">
        <v>909059</v>
      </c>
      <c r="G865" s="2">
        <v>0.4826388888888889</v>
      </c>
      <c r="H865" s="2">
        <v>0.55277777777777781</v>
      </c>
      <c r="J865">
        <v>1.57812499999999</v>
      </c>
      <c r="K865" t="s">
        <v>817</v>
      </c>
      <c r="L865" t="str">
        <f t="shared" si="39"/>
        <v>46</v>
      </c>
      <c r="M865">
        <f t="shared" si="40"/>
        <v>0</v>
      </c>
      <c r="N865">
        <f t="shared" si="41"/>
        <v>0</v>
      </c>
    </row>
    <row r="866" spans="1:14">
      <c r="A866">
        <v>4090</v>
      </c>
      <c r="B866" t="s">
        <v>950</v>
      </c>
      <c r="C866" t="s">
        <v>756</v>
      </c>
      <c r="E866">
        <v>909059</v>
      </c>
      <c r="G866" s="2">
        <v>0.55277777777777781</v>
      </c>
      <c r="H866" s="2">
        <v>0.55763888888888891</v>
      </c>
      <c r="J866">
        <v>0.109375</v>
      </c>
      <c r="K866" t="s">
        <v>877</v>
      </c>
      <c r="L866" t="str">
        <f t="shared" si="39"/>
        <v>46</v>
      </c>
      <c r="M866">
        <f t="shared" si="40"/>
        <v>0</v>
      </c>
      <c r="N866">
        <f t="shared" si="41"/>
        <v>0</v>
      </c>
    </row>
    <row r="867" spans="1:14">
      <c r="A867">
        <v>4090</v>
      </c>
      <c r="B867" t="s">
        <v>950</v>
      </c>
      <c r="C867" t="s">
        <v>756</v>
      </c>
      <c r="E867">
        <v>909059</v>
      </c>
      <c r="G867" s="2">
        <v>0.55763888888888891</v>
      </c>
      <c r="H867" s="2">
        <v>0.73263888888888884</v>
      </c>
      <c r="J867">
        <v>3.9375</v>
      </c>
      <c r="K867" t="s">
        <v>817</v>
      </c>
      <c r="L867" t="str">
        <f t="shared" si="39"/>
        <v>46</v>
      </c>
      <c r="M867">
        <f t="shared" si="40"/>
        <v>0</v>
      </c>
      <c r="N867">
        <f t="shared" si="41"/>
        <v>0</v>
      </c>
    </row>
    <row r="868" spans="1:14">
      <c r="A868">
        <v>4090</v>
      </c>
      <c r="B868" t="s">
        <v>950</v>
      </c>
      <c r="C868" t="s">
        <v>756</v>
      </c>
      <c r="E868">
        <v>909059</v>
      </c>
      <c r="G868" s="2">
        <v>0.73263888888888884</v>
      </c>
      <c r="H868" s="2">
        <v>0.73472222222222217</v>
      </c>
      <c r="J868">
        <v>4.6875E-2</v>
      </c>
      <c r="K868" t="s">
        <v>877</v>
      </c>
      <c r="L868" t="str">
        <f t="shared" si="39"/>
        <v>46</v>
      </c>
      <c r="M868">
        <f t="shared" si="40"/>
        <v>0</v>
      </c>
      <c r="N868">
        <f t="shared" si="41"/>
        <v>0</v>
      </c>
    </row>
    <row r="869" spans="1:14">
      <c r="A869">
        <v>4090</v>
      </c>
      <c r="B869" t="s">
        <v>950</v>
      </c>
      <c r="C869" t="s">
        <v>756</v>
      </c>
      <c r="E869">
        <v>909059</v>
      </c>
      <c r="G869" s="2">
        <v>0.73472222222222217</v>
      </c>
      <c r="H869" s="2">
        <v>0.75902777777777775</v>
      </c>
      <c r="J869">
        <v>0.546874999999999</v>
      </c>
      <c r="K869" t="s">
        <v>817</v>
      </c>
      <c r="L869" t="str">
        <f t="shared" si="39"/>
        <v>46</v>
      </c>
      <c r="M869">
        <f t="shared" si="40"/>
        <v>0</v>
      </c>
      <c r="N869">
        <f t="shared" si="41"/>
        <v>0</v>
      </c>
    </row>
    <row r="870" spans="1:14">
      <c r="A870">
        <v>4090</v>
      </c>
      <c r="B870" t="s">
        <v>950</v>
      </c>
      <c r="C870" t="s">
        <v>756</v>
      </c>
      <c r="E870">
        <v>909059</v>
      </c>
      <c r="G870" s="2">
        <v>0.75902777777777775</v>
      </c>
      <c r="H870" s="2">
        <v>0.79166666666666663</v>
      </c>
      <c r="J870">
        <v>0.734374999999999</v>
      </c>
      <c r="K870" t="s">
        <v>816</v>
      </c>
      <c r="L870" t="str">
        <f t="shared" si="39"/>
        <v>46</v>
      </c>
      <c r="M870">
        <f t="shared" si="40"/>
        <v>0</v>
      </c>
      <c r="N870">
        <f t="shared" si="41"/>
        <v>0</v>
      </c>
    </row>
    <row r="871" spans="1:14">
      <c r="A871">
        <v>7511</v>
      </c>
      <c r="B871" t="s">
        <v>1239</v>
      </c>
      <c r="C871" t="s">
        <v>754</v>
      </c>
      <c r="D871" t="s">
        <v>862</v>
      </c>
      <c r="E871">
        <v>333306</v>
      </c>
      <c r="G871" s="2">
        <v>0.46319444444444446</v>
      </c>
      <c r="H871" s="2">
        <v>0.50138888888888888</v>
      </c>
      <c r="J871">
        <v>0.91615802983162697</v>
      </c>
      <c r="K871" t="s">
        <v>817</v>
      </c>
      <c r="L871" t="str">
        <f t="shared" si="39"/>
        <v>46</v>
      </c>
      <c r="M871">
        <f t="shared" si="40"/>
        <v>0</v>
      </c>
      <c r="N871">
        <f t="shared" si="41"/>
        <v>0</v>
      </c>
    </row>
    <row r="872" spans="1:14">
      <c r="A872">
        <v>7511</v>
      </c>
      <c r="B872" t="s">
        <v>1239</v>
      </c>
      <c r="C872" t="s">
        <v>754</v>
      </c>
      <c r="D872" t="s">
        <v>862</v>
      </c>
      <c r="E872">
        <v>333306</v>
      </c>
      <c r="G872" s="2">
        <v>0.50138888888888888</v>
      </c>
      <c r="H872" s="2">
        <v>0.51875000000000004</v>
      </c>
      <c r="J872">
        <v>0.41643546810528598</v>
      </c>
      <c r="K872" t="s">
        <v>877</v>
      </c>
      <c r="L872" t="str">
        <f t="shared" si="39"/>
        <v>46</v>
      </c>
      <c r="M872">
        <f t="shared" si="40"/>
        <v>0</v>
      </c>
      <c r="N872">
        <f t="shared" si="41"/>
        <v>0</v>
      </c>
    </row>
    <row r="873" spans="1:14">
      <c r="A873">
        <v>7511</v>
      </c>
      <c r="B873" t="s">
        <v>1239</v>
      </c>
      <c r="C873" t="s">
        <v>754</v>
      </c>
      <c r="D873" t="s">
        <v>862</v>
      </c>
      <c r="E873">
        <v>333306</v>
      </c>
      <c r="G873" s="2">
        <v>0.51875000000000004</v>
      </c>
      <c r="H873" s="2">
        <v>0.53194444444444444</v>
      </c>
      <c r="J873">
        <v>0.31649095576001701</v>
      </c>
      <c r="K873" t="s">
        <v>817</v>
      </c>
      <c r="L873" t="str">
        <f t="shared" si="39"/>
        <v>46</v>
      </c>
      <c r="M873">
        <f t="shared" si="40"/>
        <v>0</v>
      </c>
      <c r="N873">
        <f t="shared" si="41"/>
        <v>0</v>
      </c>
    </row>
    <row r="874" spans="1:14">
      <c r="A874">
        <v>7511</v>
      </c>
      <c r="B874" t="s">
        <v>1239</v>
      </c>
      <c r="C874" t="s">
        <v>754</v>
      </c>
      <c r="D874" t="s">
        <v>862</v>
      </c>
      <c r="E874">
        <v>333306</v>
      </c>
      <c r="G874" s="2">
        <v>0.53194444444444444</v>
      </c>
      <c r="H874" s="2">
        <v>0.54583333333333328</v>
      </c>
      <c r="J874">
        <v>0.33314837448422802</v>
      </c>
      <c r="K874" t="s">
        <v>877</v>
      </c>
      <c r="L874" t="str">
        <f t="shared" si="39"/>
        <v>46</v>
      </c>
      <c r="M874">
        <f t="shared" si="40"/>
        <v>0</v>
      </c>
      <c r="N874">
        <f t="shared" si="41"/>
        <v>0</v>
      </c>
    </row>
    <row r="875" spans="1:14">
      <c r="A875">
        <v>7511</v>
      </c>
      <c r="B875" t="s">
        <v>1239</v>
      </c>
      <c r="C875" t="s">
        <v>754</v>
      </c>
      <c r="D875" t="s">
        <v>862</v>
      </c>
      <c r="E875">
        <v>333306</v>
      </c>
      <c r="G875" s="2">
        <v>0.54583333333333328</v>
      </c>
      <c r="H875" s="2">
        <v>0.79166666666666663</v>
      </c>
      <c r="J875">
        <v>5.8967262283708397</v>
      </c>
      <c r="K875" t="s">
        <v>790</v>
      </c>
      <c r="L875" t="str">
        <f t="shared" si="39"/>
        <v>46</v>
      </c>
      <c r="M875">
        <f t="shared" si="40"/>
        <v>0</v>
      </c>
      <c r="N875">
        <f t="shared" si="41"/>
        <v>0</v>
      </c>
    </row>
    <row r="876" spans="1:14">
      <c r="A876">
        <v>7511</v>
      </c>
      <c r="B876" t="s">
        <v>1239</v>
      </c>
      <c r="C876" t="s">
        <v>754</v>
      </c>
      <c r="D876" t="s">
        <v>862</v>
      </c>
      <c r="E876">
        <v>333306</v>
      </c>
      <c r="G876" s="2">
        <v>0.79166666666666663</v>
      </c>
      <c r="H876" s="2">
        <v>0.8</v>
      </c>
      <c r="J876">
        <v>0.19988902469053699</v>
      </c>
      <c r="K876" t="s">
        <v>799</v>
      </c>
      <c r="L876" t="str">
        <f t="shared" si="39"/>
        <v>33</v>
      </c>
      <c r="M876">
        <f t="shared" si="40"/>
        <v>0</v>
      </c>
      <c r="N876">
        <f t="shared" si="41"/>
        <v>0</v>
      </c>
    </row>
    <row r="877" spans="1:14">
      <c r="A877">
        <v>7511</v>
      </c>
      <c r="B877" t="s">
        <v>1239</v>
      </c>
      <c r="C877" t="s">
        <v>754</v>
      </c>
      <c r="D877" t="s">
        <v>862</v>
      </c>
      <c r="E877">
        <v>333306</v>
      </c>
      <c r="G877" s="2">
        <v>0.8</v>
      </c>
      <c r="H877" s="2">
        <v>0.80208333333333337</v>
      </c>
      <c r="J877">
        <v>4.9972256172634198E-2</v>
      </c>
      <c r="K877" t="s">
        <v>798</v>
      </c>
      <c r="L877" t="str">
        <f t="shared" si="39"/>
        <v>33</v>
      </c>
      <c r="M877">
        <f t="shared" si="40"/>
        <v>0</v>
      </c>
      <c r="N877">
        <f t="shared" si="41"/>
        <v>0</v>
      </c>
    </row>
    <row r="878" spans="1:14">
      <c r="A878">
        <v>7511</v>
      </c>
      <c r="B878" t="s">
        <v>1239</v>
      </c>
      <c r="C878" t="s">
        <v>754</v>
      </c>
      <c r="D878" t="s">
        <v>862</v>
      </c>
      <c r="E878">
        <v>333306</v>
      </c>
      <c r="G878" s="2">
        <v>0.80208333333333337</v>
      </c>
      <c r="H878" s="2">
        <v>0.81319444444444444</v>
      </c>
      <c r="J878">
        <v>0.266518699587383</v>
      </c>
      <c r="K878" t="s">
        <v>814</v>
      </c>
      <c r="L878" t="str">
        <f t="shared" si="39"/>
        <v>33</v>
      </c>
      <c r="M878">
        <f t="shared" si="40"/>
        <v>0</v>
      </c>
      <c r="N878">
        <f t="shared" si="41"/>
        <v>0</v>
      </c>
    </row>
    <row r="879" spans="1:14">
      <c r="A879">
        <v>7511</v>
      </c>
      <c r="B879" t="s">
        <v>1239</v>
      </c>
      <c r="C879" t="s">
        <v>754</v>
      </c>
      <c r="D879" t="s">
        <v>862</v>
      </c>
      <c r="E879">
        <v>333306</v>
      </c>
      <c r="G879" s="2">
        <v>0.81319444444444444</v>
      </c>
      <c r="H879" s="2">
        <v>0.85416666666666663</v>
      </c>
      <c r="J879">
        <v>0.98278770472847299</v>
      </c>
      <c r="K879" t="s">
        <v>799</v>
      </c>
      <c r="L879" t="str">
        <f t="shared" si="39"/>
        <v>33</v>
      </c>
      <c r="M879">
        <f t="shared" si="40"/>
        <v>0</v>
      </c>
      <c r="N879">
        <f t="shared" si="41"/>
        <v>0</v>
      </c>
    </row>
    <row r="880" spans="1:14">
      <c r="A880">
        <v>7046</v>
      </c>
      <c r="B880" t="s">
        <v>1125</v>
      </c>
      <c r="C880" t="s">
        <v>754</v>
      </c>
      <c r="D880" t="s">
        <v>841</v>
      </c>
      <c r="E880">
        <v>243804</v>
      </c>
      <c r="G880" s="2">
        <v>0.20624999999999999</v>
      </c>
      <c r="H880" s="2">
        <v>0.4069444444444445</v>
      </c>
      <c r="J880">
        <v>4.5530679933664997</v>
      </c>
      <c r="K880" t="s">
        <v>821</v>
      </c>
      <c r="L880" t="str">
        <f t="shared" si="39"/>
        <v>33</v>
      </c>
      <c r="M880">
        <f t="shared" si="40"/>
        <v>0</v>
      </c>
      <c r="N880">
        <f t="shared" si="41"/>
        <v>0</v>
      </c>
    </row>
    <row r="881" spans="1:14">
      <c r="A881">
        <v>7046</v>
      </c>
      <c r="B881" t="s">
        <v>1125</v>
      </c>
      <c r="C881" t="s">
        <v>754</v>
      </c>
      <c r="D881" t="s">
        <v>841</v>
      </c>
      <c r="E881">
        <v>243804</v>
      </c>
      <c r="G881" s="2">
        <v>0.4069444444444445</v>
      </c>
      <c r="H881" s="2">
        <v>0.46388888888888885</v>
      </c>
      <c r="J881">
        <v>1.2918739635157499</v>
      </c>
      <c r="K881" t="s">
        <v>825</v>
      </c>
      <c r="L881" t="str">
        <f t="shared" si="39"/>
        <v>33</v>
      </c>
      <c r="M881">
        <f t="shared" si="40"/>
        <v>0</v>
      </c>
      <c r="N881">
        <f t="shared" si="41"/>
        <v>0</v>
      </c>
    </row>
    <row r="882" spans="1:14">
      <c r="A882">
        <v>7046</v>
      </c>
      <c r="B882" t="s">
        <v>1125</v>
      </c>
      <c r="C882" t="s">
        <v>754</v>
      </c>
      <c r="D882" t="s">
        <v>841</v>
      </c>
      <c r="E882">
        <v>243804</v>
      </c>
      <c r="G882" s="2">
        <v>0.46388888888888885</v>
      </c>
      <c r="H882" s="2">
        <v>0.625</v>
      </c>
      <c r="J882">
        <v>3.65505804311774</v>
      </c>
      <c r="K882" t="s">
        <v>760</v>
      </c>
      <c r="L882" t="str">
        <f t="shared" si="39"/>
        <v>33</v>
      </c>
      <c r="M882">
        <f t="shared" si="40"/>
        <v>0</v>
      </c>
      <c r="N882">
        <f t="shared" si="41"/>
        <v>0</v>
      </c>
    </row>
    <row r="883" spans="1:14">
      <c r="A883">
        <v>7612</v>
      </c>
      <c r="B883" t="s">
        <v>1240</v>
      </c>
      <c r="C883" t="s">
        <v>756</v>
      </c>
      <c r="E883">
        <v>162920</v>
      </c>
      <c r="G883" s="2">
        <v>0.25347222222222221</v>
      </c>
      <c r="H883" s="2">
        <v>0.4993055555555555</v>
      </c>
      <c r="J883">
        <v>5.8973571428570599</v>
      </c>
      <c r="K883" t="s">
        <v>759</v>
      </c>
      <c r="L883" t="str">
        <f t="shared" si="39"/>
        <v>33</v>
      </c>
      <c r="M883">
        <f t="shared" si="40"/>
        <v>0</v>
      </c>
      <c r="N883">
        <f t="shared" si="41"/>
        <v>0</v>
      </c>
    </row>
    <row r="884" spans="1:14">
      <c r="A884">
        <v>7180</v>
      </c>
      <c r="B884" t="s">
        <v>1126</v>
      </c>
      <c r="C884" t="s">
        <v>754</v>
      </c>
      <c r="D884">
        <v>65</v>
      </c>
      <c r="E884">
        <v>30683</v>
      </c>
      <c r="G884" s="2">
        <v>0.33333333333333331</v>
      </c>
      <c r="H884" s="2">
        <v>0.6791666666666667</v>
      </c>
      <c r="J884">
        <v>7.7956274454608199</v>
      </c>
      <c r="K884" t="s">
        <v>829</v>
      </c>
      <c r="L884" t="str">
        <f t="shared" si="39"/>
        <v>65</v>
      </c>
      <c r="M884">
        <f t="shared" si="40"/>
        <v>0</v>
      </c>
      <c r="N884">
        <f t="shared" si="41"/>
        <v>0</v>
      </c>
    </row>
    <row r="885" spans="1:14">
      <c r="A885">
        <v>7113</v>
      </c>
      <c r="B885" t="s">
        <v>952</v>
      </c>
      <c r="C885" t="s">
        <v>754</v>
      </c>
      <c r="D885" t="s">
        <v>832</v>
      </c>
      <c r="E885">
        <v>254827</v>
      </c>
      <c r="G885" s="2">
        <v>0.20902777777777778</v>
      </c>
      <c r="H885" s="2">
        <v>0.20972222222222223</v>
      </c>
      <c r="J885">
        <v>1.56142057917398E-2</v>
      </c>
      <c r="K885" t="s">
        <v>779</v>
      </c>
      <c r="L885" t="str">
        <f t="shared" si="39"/>
        <v>37</v>
      </c>
      <c r="M885">
        <f t="shared" si="40"/>
        <v>0</v>
      </c>
      <c r="N885">
        <f t="shared" si="41"/>
        <v>0</v>
      </c>
    </row>
    <row r="886" spans="1:14">
      <c r="A886">
        <v>7113</v>
      </c>
      <c r="B886" t="s">
        <v>952</v>
      </c>
      <c r="C886" t="s">
        <v>754</v>
      </c>
      <c r="D886" t="s">
        <v>832</v>
      </c>
      <c r="E886">
        <v>254827</v>
      </c>
      <c r="G886" s="2">
        <v>0.20972222222222223</v>
      </c>
      <c r="H886" s="2">
        <v>0.21944444444444444</v>
      </c>
      <c r="J886">
        <v>0.21859888108435699</v>
      </c>
      <c r="K886" t="s">
        <v>780</v>
      </c>
      <c r="L886" t="str">
        <f t="shared" si="39"/>
        <v>46</v>
      </c>
      <c r="M886">
        <f t="shared" si="40"/>
        <v>0</v>
      </c>
      <c r="N886">
        <f t="shared" si="41"/>
        <v>0</v>
      </c>
    </row>
    <row r="887" spans="1:14">
      <c r="A887">
        <v>7113</v>
      </c>
      <c r="B887" t="s">
        <v>952</v>
      </c>
      <c r="C887" t="s">
        <v>754</v>
      </c>
      <c r="D887" t="s">
        <v>832</v>
      </c>
      <c r="E887">
        <v>254827</v>
      </c>
      <c r="G887" s="2">
        <v>0.21944444444444444</v>
      </c>
      <c r="H887" s="2">
        <v>0.47499999999999998</v>
      </c>
      <c r="J887">
        <v>5.7460277313602504</v>
      </c>
      <c r="K887" t="s">
        <v>779</v>
      </c>
      <c r="L887" t="str">
        <f t="shared" si="39"/>
        <v>37</v>
      </c>
      <c r="M887">
        <f t="shared" si="40"/>
        <v>0</v>
      </c>
      <c r="N887">
        <f t="shared" si="41"/>
        <v>0</v>
      </c>
    </row>
    <row r="888" spans="1:14">
      <c r="A888">
        <v>7113</v>
      </c>
      <c r="B888" t="s">
        <v>952</v>
      </c>
      <c r="C888" t="s">
        <v>754</v>
      </c>
      <c r="D888" t="s">
        <v>832</v>
      </c>
      <c r="E888">
        <v>254827</v>
      </c>
      <c r="G888" s="2">
        <v>0.47499999999999998</v>
      </c>
      <c r="H888" s="2">
        <v>0.54166666666666663</v>
      </c>
      <c r="J888">
        <v>1.4989637560070199</v>
      </c>
      <c r="K888" t="s">
        <v>778</v>
      </c>
      <c r="L888" t="str">
        <f t="shared" si="39"/>
        <v>37</v>
      </c>
      <c r="M888">
        <f t="shared" si="40"/>
        <v>0</v>
      </c>
      <c r="N888">
        <f t="shared" si="41"/>
        <v>0</v>
      </c>
    </row>
    <row r="889" spans="1:14">
      <c r="A889">
        <v>4119</v>
      </c>
      <c r="B889" t="s">
        <v>1127</v>
      </c>
      <c r="C889" t="s">
        <v>756</v>
      </c>
      <c r="E889">
        <v>918308</v>
      </c>
      <c r="G889" s="2">
        <v>0.22291666666666665</v>
      </c>
      <c r="H889" s="2">
        <v>0.55277777777777781</v>
      </c>
      <c r="J889">
        <v>7.4292430682616697</v>
      </c>
      <c r="K889" t="s">
        <v>778</v>
      </c>
      <c r="L889" t="str">
        <f t="shared" si="39"/>
        <v>37</v>
      </c>
      <c r="M889">
        <f t="shared" si="40"/>
        <v>0</v>
      </c>
      <c r="N889">
        <f t="shared" si="41"/>
        <v>0</v>
      </c>
    </row>
    <row r="890" spans="1:14">
      <c r="A890">
        <v>7377</v>
      </c>
      <c r="B890" t="s">
        <v>953</v>
      </c>
      <c r="C890" t="s">
        <v>754</v>
      </c>
      <c r="D890" t="s">
        <v>839</v>
      </c>
      <c r="E890">
        <v>38317</v>
      </c>
      <c r="G890" s="2">
        <v>0.17222222222222225</v>
      </c>
      <c r="H890" s="2">
        <v>0.24236111111111111</v>
      </c>
      <c r="J890">
        <v>1.5999187870884299</v>
      </c>
      <c r="K890" t="s">
        <v>759</v>
      </c>
      <c r="L890" t="str">
        <f t="shared" si="39"/>
        <v>33</v>
      </c>
      <c r="M890">
        <f t="shared" si="40"/>
        <v>0</v>
      </c>
      <c r="N890">
        <f t="shared" si="41"/>
        <v>0</v>
      </c>
    </row>
    <row r="891" spans="1:14">
      <c r="A891">
        <v>7377</v>
      </c>
      <c r="B891" t="s">
        <v>953</v>
      </c>
      <c r="C891" t="s">
        <v>754</v>
      </c>
      <c r="D891" t="s">
        <v>839</v>
      </c>
      <c r="E891">
        <v>38317</v>
      </c>
      <c r="G891" s="2">
        <v>0.24236111111111111</v>
      </c>
      <c r="H891" s="2">
        <v>0.4152777777777778</v>
      </c>
      <c r="J891">
        <v>3.9443542374754399</v>
      </c>
      <c r="K891" t="s">
        <v>760</v>
      </c>
      <c r="L891" t="str">
        <f t="shared" si="39"/>
        <v>33</v>
      </c>
      <c r="M891">
        <f t="shared" si="40"/>
        <v>0</v>
      </c>
      <c r="N891">
        <f t="shared" si="41"/>
        <v>0</v>
      </c>
    </row>
    <row r="892" spans="1:14">
      <c r="A892">
        <v>7377</v>
      </c>
      <c r="B892" t="s">
        <v>953</v>
      </c>
      <c r="C892" t="s">
        <v>754</v>
      </c>
      <c r="D892" t="s">
        <v>839</v>
      </c>
      <c r="E892">
        <v>38317</v>
      </c>
      <c r="G892" s="2">
        <v>0.4152777777777778</v>
      </c>
      <c r="H892" s="2">
        <v>0.58333333333333337</v>
      </c>
      <c r="J892">
        <v>3.83346877698416</v>
      </c>
      <c r="K892" t="s">
        <v>821</v>
      </c>
      <c r="L892" t="str">
        <f t="shared" si="39"/>
        <v>33</v>
      </c>
      <c r="M892">
        <f t="shared" si="40"/>
        <v>0</v>
      </c>
      <c r="N892">
        <f t="shared" si="41"/>
        <v>0</v>
      </c>
    </row>
    <row r="893" spans="1:14">
      <c r="A893">
        <v>4018</v>
      </c>
      <c r="B893" t="s">
        <v>954</v>
      </c>
      <c r="C893" t="s">
        <v>754</v>
      </c>
      <c r="D893" t="s">
        <v>771</v>
      </c>
      <c r="E893">
        <v>709727</v>
      </c>
      <c r="G893" s="2">
        <v>6.3888888888888884E-2</v>
      </c>
      <c r="H893" s="2">
        <v>7.2916666666666671E-2</v>
      </c>
      <c r="J893">
        <v>0.21452947845804901</v>
      </c>
      <c r="K893" t="s">
        <v>798</v>
      </c>
      <c r="L893" t="str">
        <f t="shared" si="39"/>
        <v>33</v>
      </c>
      <c r="M893">
        <f t="shared" si="40"/>
        <v>0</v>
      </c>
      <c r="N893">
        <f t="shared" si="41"/>
        <v>0</v>
      </c>
    </row>
    <row r="894" spans="1:14">
      <c r="A894">
        <v>4018</v>
      </c>
      <c r="B894" t="s">
        <v>954</v>
      </c>
      <c r="C894" t="s">
        <v>754</v>
      </c>
      <c r="D894" t="s">
        <v>771</v>
      </c>
      <c r="E894">
        <v>709727</v>
      </c>
      <c r="G894" s="2">
        <v>7.2916666666666671E-2</v>
      </c>
      <c r="H894" s="2">
        <v>0.16597222222222222</v>
      </c>
      <c r="J894">
        <v>2.2113038548752701</v>
      </c>
      <c r="K894" t="s">
        <v>799</v>
      </c>
      <c r="L894" t="str">
        <f t="shared" si="39"/>
        <v>33</v>
      </c>
      <c r="M894">
        <f t="shared" si="40"/>
        <v>0</v>
      </c>
      <c r="N894">
        <f t="shared" si="41"/>
        <v>0</v>
      </c>
    </row>
    <row r="895" spans="1:14">
      <c r="A895">
        <v>7575</v>
      </c>
      <c r="B895" t="s">
        <v>1241</v>
      </c>
      <c r="C895" t="s">
        <v>755</v>
      </c>
      <c r="D895" t="s">
        <v>818</v>
      </c>
      <c r="E895">
        <v>141854</v>
      </c>
      <c r="G895" s="2">
        <v>0.1013888888888889</v>
      </c>
      <c r="H895" s="2">
        <v>0.20833333333333334</v>
      </c>
      <c r="J895">
        <v>2.3968871595330699</v>
      </c>
      <c r="K895" t="s">
        <v>769</v>
      </c>
      <c r="L895" t="str">
        <f t="shared" si="39"/>
        <v>37</v>
      </c>
      <c r="M895">
        <f t="shared" si="40"/>
        <v>0</v>
      </c>
      <c r="N895">
        <f t="shared" si="41"/>
        <v>0</v>
      </c>
    </row>
    <row r="896" spans="1:14">
      <c r="A896">
        <v>7575</v>
      </c>
      <c r="B896" t="s">
        <v>1241</v>
      </c>
      <c r="C896" t="s">
        <v>755</v>
      </c>
      <c r="D896" t="s">
        <v>818</v>
      </c>
      <c r="E896">
        <v>141854</v>
      </c>
      <c r="G896" s="2">
        <v>0.20833333333333334</v>
      </c>
      <c r="H896" s="2">
        <v>0.32569444444444445</v>
      </c>
      <c r="J896">
        <v>2.6303501945525301</v>
      </c>
      <c r="K896" t="s">
        <v>819</v>
      </c>
      <c r="L896" t="str">
        <f t="shared" si="39"/>
        <v>33</v>
      </c>
      <c r="M896">
        <f t="shared" si="40"/>
        <v>0</v>
      </c>
      <c r="N896">
        <f t="shared" si="41"/>
        <v>0</v>
      </c>
    </row>
    <row r="897" spans="1:14">
      <c r="A897">
        <v>7575</v>
      </c>
      <c r="B897" t="s">
        <v>1241</v>
      </c>
      <c r="C897" t="s">
        <v>755</v>
      </c>
      <c r="D897" t="s">
        <v>818</v>
      </c>
      <c r="E897">
        <v>141854</v>
      </c>
      <c r="G897" s="2">
        <v>0.32569444444444445</v>
      </c>
      <c r="H897" s="2">
        <v>0.45833333333333331</v>
      </c>
      <c r="J897">
        <v>2.9727626459143899</v>
      </c>
      <c r="K897" t="s">
        <v>759</v>
      </c>
      <c r="L897" t="str">
        <f t="shared" si="39"/>
        <v>33</v>
      </c>
      <c r="M897">
        <f t="shared" si="40"/>
        <v>0</v>
      </c>
      <c r="N897">
        <f t="shared" si="41"/>
        <v>0</v>
      </c>
    </row>
    <row r="898" spans="1:14">
      <c r="A898">
        <v>7035</v>
      </c>
      <c r="B898" t="s">
        <v>955</v>
      </c>
      <c r="C898" t="s">
        <v>754</v>
      </c>
      <c r="D898" t="s">
        <v>866</v>
      </c>
      <c r="E898">
        <v>30317</v>
      </c>
      <c r="G898" s="2">
        <v>0.50138888888888888</v>
      </c>
      <c r="H898" s="2">
        <v>0.85972222222222217</v>
      </c>
      <c r="J898">
        <v>8.6103409734266307</v>
      </c>
      <c r="K898" t="s">
        <v>956</v>
      </c>
      <c r="L898" t="str">
        <f t="shared" ref="L898:L961" si="42">RIGHT(LEFT(K898,4),2)</f>
        <v>46</v>
      </c>
      <c r="M898">
        <f t="shared" ref="M898:M961" si="43">IF(I898=0,0,I898-H898)+IF(F898=0,0,G898-F898)</f>
        <v>0</v>
      </c>
      <c r="N898">
        <f t="shared" ref="N898:N961" si="44">(M898-INT(M898))*24</f>
        <v>0</v>
      </c>
    </row>
    <row r="899" spans="1:14">
      <c r="A899">
        <v>7035</v>
      </c>
      <c r="B899" t="s">
        <v>955</v>
      </c>
      <c r="C899" t="s">
        <v>754</v>
      </c>
      <c r="D899" t="s">
        <v>866</v>
      </c>
      <c r="E899">
        <v>30317</v>
      </c>
      <c r="G899" s="2">
        <v>0.85972222222222217</v>
      </c>
      <c r="H899" s="2">
        <v>0.89583333333333337</v>
      </c>
      <c r="J899">
        <v>0.86770878026779896</v>
      </c>
      <c r="K899" t="s">
        <v>759</v>
      </c>
      <c r="L899" t="str">
        <f t="shared" si="42"/>
        <v>33</v>
      </c>
      <c r="M899">
        <f t="shared" si="43"/>
        <v>0</v>
      </c>
      <c r="N899">
        <f t="shared" si="44"/>
        <v>0</v>
      </c>
    </row>
    <row r="900" spans="1:14">
      <c r="A900">
        <v>7893</v>
      </c>
      <c r="B900" t="s">
        <v>1242</v>
      </c>
      <c r="C900" t="s">
        <v>755</v>
      </c>
      <c r="D900" t="s">
        <v>777</v>
      </c>
      <c r="E900">
        <v>535777</v>
      </c>
      <c r="G900" s="2">
        <v>0.20833333333333334</v>
      </c>
      <c r="H900" s="2">
        <v>0.3611111111111111</v>
      </c>
      <c r="J900">
        <v>3.4509803921568598</v>
      </c>
      <c r="K900" t="s">
        <v>768</v>
      </c>
      <c r="L900" t="str">
        <f t="shared" si="42"/>
        <v>46</v>
      </c>
      <c r="M900">
        <f t="shared" si="43"/>
        <v>0</v>
      </c>
      <c r="N900">
        <f t="shared" si="44"/>
        <v>0</v>
      </c>
    </row>
    <row r="901" spans="1:14">
      <c r="A901">
        <v>7893</v>
      </c>
      <c r="B901" t="s">
        <v>1242</v>
      </c>
      <c r="C901" t="s">
        <v>755</v>
      </c>
      <c r="D901" t="s">
        <v>777</v>
      </c>
      <c r="E901">
        <v>535777</v>
      </c>
      <c r="G901" s="2">
        <v>0.3611111111111111</v>
      </c>
      <c r="H901" s="2">
        <v>0.42083333333333334</v>
      </c>
      <c r="J901">
        <v>1.34901960784313</v>
      </c>
      <c r="K901" t="s">
        <v>767</v>
      </c>
      <c r="L901" t="str">
        <f t="shared" si="42"/>
        <v>37</v>
      </c>
      <c r="M901">
        <f t="shared" si="43"/>
        <v>0</v>
      </c>
      <c r="N901">
        <f t="shared" si="44"/>
        <v>0</v>
      </c>
    </row>
    <row r="902" spans="1:14">
      <c r="A902">
        <v>7893</v>
      </c>
      <c r="B902" t="s">
        <v>1242</v>
      </c>
      <c r="C902" t="s">
        <v>755</v>
      </c>
      <c r="D902" t="s">
        <v>777</v>
      </c>
      <c r="E902">
        <v>535777</v>
      </c>
      <c r="G902" s="2">
        <v>0.42083333333333334</v>
      </c>
      <c r="H902" s="2">
        <v>0.42430555555555555</v>
      </c>
      <c r="J902">
        <v>7.8431372549019496E-2</v>
      </c>
      <c r="K902" t="s">
        <v>768</v>
      </c>
      <c r="L902" t="str">
        <f t="shared" si="42"/>
        <v>46</v>
      </c>
      <c r="M902">
        <f t="shared" si="43"/>
        <v>0</v>
      </c>
      <c r="N902">
        <f t="shared" si="44"/>
        <v>0</v>
      </c>
    </row>
    <row r="903" spans="1:14">
      <c r="A903">
        <v>7893</v>
      </c>
      <c r="B903" t="s">
        <v>1242</v>
      </c>
      <c r="C903" t="s">
        <v>755</v>
      </c>
      <c r="D903" t="s">
        <v>777</v>
      </c>
      <c r="E903">
        <v>535777</v>
      </c>
      <c r="G903" s="2">
        <v>0.42430555555555555</v>
      </c>
      <c r="H903" s="2">
        <v>0.43402777777777773</v>
      </c>
      <c r="J903">
        <v>0.21960784313725401</v>
      </c>
      <c r="K903" t="s">
        <v>767</v>
      </c>
      <c r="L903" t="str">
        <f t="shared" si="42"/>
        <v>37</v>
      </c>
      <c r="M903">
        <f t="shared" si="43"/>
        <v>0</v>
      </c>
      <c r="N903">
        <f t="shared" si="44"/>
        <v>0</v>
      </c>
    </row>
    <row r="904" spans="1:14">
      <c r="A904">
        <v>7893</v>
      </c>
      <c r="B904" t="s">
        <v>1242</v>
      </c>
      <c r="C904" t="s">
        <v>755</v>
      </c>
      <c r="D904" t="s">
        <v>777</v>
      </c>
      <c r="E904">
        <v>535777</v>
      </c>
      <c r="G904" s="2">
        <v>0.43402777777777773</v>
      </c>
      <c r="H904" s="2">
        <v>0.5625</v>
      </c>
      <c r="J904">
        <v>2.9019607843137201</v>
      </c>
      <c r="K904" t="s">
        <v>778</v>
      </c>
      <c r="L904" t="str">
        <f t="shared" si="42"/>
        <v>37</v>
      </c>
      <c r="M904">
        <f t="shared" si="43"/>
        <v>0</v>
      </c>
      <c r="N904">
        <f t="shared" si="44"/>
        <v>0</v>
      </c>
    </row>
    <row r="905" spans="1:14">
      <c r="A905">
        <v>7237</v>
      </c>
      <c r="B905" t="s">
        <v>958</v>
      </c>
      <c r="C905" t="s">
        <v>754</v>
      </c>
      <c r="D905" t="s">
        <v>839</v>
      </c>
      <c r="E905">
        <v>316875</v>
      </c>
      <c r="G905" s="2">
        <v>0.17083333333333331</v>
      </c>
      <c r="H905" s="2">
        <v>0.17708333333333334</v>
      </c>
      <c r="J905">
        <v>0.14128213228768599</v>
      </c>
      <c r="K905" t="s">
        <v>843</v>
      </c>
      <c r="L905" t="str">
        <f t="shared" si="42"/>
        <v>33</v>
      </c>
      <c r="M905">
        <f t="shared" si="43"/>
        <v>0</v>
      </c>
      <c r="N905">
        <f t="shared" si="44"/>
        <v>0</v>
      </c>
    </row>
    <row r="906" spans="1:14">
      <c r="A906">
        <v>7237</v>
      </c>
      <c r="B906" t="s">
        <v>958</v>
      </c>
      <c r="C906" t="s">
        <v>754</v>
      </c>
      <c r="D906" t="s">
        <v>839</v>
      </c>
      <c r="E906">
        <v>316875</v>
      </c>
      <c r="G906" s="2">
        <v>0.17708333333333334</v>
      </c>
      <c r="H906" s="2">
        <v>0.29375000000000001</v>
      </c>
      <c r="J906">
        <v>2.6372664693701502</v>
      </c>
      <c r="K906" t="s">
        <v>842</v>
      </c>
      <c r="L906" t="str">
        <f t="shared" si="42"/>
        <v>33</v>
      </c>
      <c r="M906">
        <f t="shared" si="43"/>
        <v>0</v>
      </c>
      <c r="N906">
        <f t="shared" si="44"/>
        <v>0</v>
      </c>
    </row>
    <row r="907" spans="1:14">
      <c r="A907">
        <v>7237</v>
      </c>
      <c r="B907" t="s">
        <v>958</v>
      </c>
      <c r="C907" t="s">
        <v>754</v>
      </c>
      <c r="D907" t="s">
        <v>839</v>
      </c>
      <c r="E907">
        <v>316875</v>
      </c>
      <c r="G907" s="2">
        <v>0.29375000000000001</v>
      </c>
      <c r="H907" s="2">
        <v>0.33055555555555555</v>
      </c>
      <c r="J907">
        <v>0.83199477902748797</v>
      </c>
      <c r="K907" t="s">
        <v>843</v>
      </c>
      <c r="L907" t="str">
        <f t="shared" si="42"/>
        <v>33</v>
      </c>
      <c r="M907">
        <f t="shared" si="43"/>
        <v>0</v>
      </c>
      <c r="N907">
        <f t="shared" si="44"/>
        <v>0</v>
      </c>
    </row>
    <row r="908" spans="1:14">
      <c r="A908">
        <v>7237</v>
      </c>
      <c r="B908" t="s">
        <v>958</v>
      </c>
      <c r="C908" t="s">
        <v>754</v>
      </c>
      <c r="D908" t="s">
        <v>839</v>
      </c>
      <c r="E908">
        <v>316875</v>
      </c>
      <c r="G908" s="2">
        <v>0.33055555555555555</v>
      </c>
      <c r="H908" s="2">
        <v>0.33888888888888885</v>
      </c>
      <c r="J908">
        <v>0.18837617638358201</v>
      </c>
      <c r="K908" t="s">
        <v>842</v>
      </c>
      <c r="L908" t="str">
        <f t="shared" si="42"/>
        <v>33</v>
      </c>
      <c r="M908">
        <f t="shared" si="43"/>
        <v>0</v>
      </c>
      <c r="N908">
        <f t="shared" si="44"/>
        <v>0</v>
      </c>
    </row>
    <row r="909" spans="1:14">
      <c r="A909">
        <v>7237</v>
      </c>
      <c r="B909" t="s">
        <v>958</v>
      </c>
      <c r="C909" t="s">
        <v>754</v>
      </c>
      <c r="D909" t="s">
        <v>839</v>
      </c>
      <c r="E909">
        <v>316875</v>
      </c>
      <c r="G909" s="2">
        <v>0.33888888888888885</v>
      </c>
      <c r="H909" s="2">
        <v>0.33888888888888885</v>
      </c>
      <c r="J909">
        <v>0</v>
      </c>
      <c r="K909" t="s">
        <v>843</v>
      </c>
      <c r="L909" t="str">
        <f t="shared" si="42"/>
        <v>33</v>
      </c>
      <c r="M909">
        <f t="shared" si="43"/>
        <v>0</v>
      </c>
      <c r="N909">
        <f t="shared" si="44"/>
        <v>0</v>
      </c>
    </row>
    <row r="910" spans="1:14">
      <c r="A910">
        <v>7237</v>
      </c>
      <c r="B910" t="s">
        <v>958</v>
      </c>
      <c r="C910" t="s">
        <v>754</v>
      </c>
      <c r="D910" t="s">
        <v>839</v>
      </c>
      <c r="E910">
        <v>316875</v>
      </c>
      <c r="G910" s="2">
        <v>0.33888888888888885</v>
      </c>
      <c r="H910" s="2">
        <v>0.38750000000000001</v>
      </c>
      <c r="J910">
        <v>1.09886102890423</v>
      </c>
      <c r="K910" t="s">
        <v>842</v>
      </c>
      <c r="L910" t="str">
        <f t="shared" si="42"/>
        <v>33</v>
      </c>
      <c r="M910">
        <f t="shared" si="43"/>
        <v>0</v>
      </c>
      <c r="N910">
        <f t="shared" si="44"/>
        <v>0</v>
      </c>
    </row>
    <row r="911" spans="1:14">
      <c r="A911">
        <v>7237</v>
      </c>
      <c r="B911" t="s">
        <v>958</v>
      </c>
      <c r="C911" t="s">
        <v>754</v>
      </c>
      <c r="D911" t="s">
        <v>839</v>
      </c>
      <c r="E911">
        <v>316875</v>
      </c>
      <c r="G911" s="2">
        <v>0.38750000000000001</v>
      </c>
      <c r="H911" s="2">
        <v>0.4069444444444445</v>
      </c>
      <c r="J911">
        <v>0.43954441156169199</v>
      </c>
      <c r="K911" t="s">
        <v>847</v>
      </c>
      <c r="L911" t="str">
        <f t="shared" si="42"/>
        <v>33</v>
      </c>
      <c r="M911">
        <f t="shared" si="43"/>
        <v>0</v>
      </c>
      <c r="N911">
        <f t="shared" si="44"/>
        <v>0</v>
      </c>
    </row>
    <row r="912" spans="1:14">
      <c r="A912">
        <v>7237</v>
      </c>
      <c r="B912" t="s">
        <v>958</v>
      </c>
      <c r="C912" t="s">
        <v>754</v>
      </c>
      <c r="D912" t="s">
        <v>839</v>
      </c>
      <c r="E912">
        <v>316875</v>
      </c>
      <c r="G912" s="2">
        <v>0.4069444444444445</v>
      </c>
      <c r="H912" s="2">
        <v>0.53263888888888888</v>
      </c>
      <c r="J912">
        <v>2.8413406604523699</v>
      </c>
      <c r="K912" t="s">
        <v>842</v>
      </c>
      <c r="L912" t="str">
        <f t="shared" si="42"/>
        <v>33</v>
      </c>
      <c r="M912">
        <f t="shared" si="43"/>
        <v>0</v>
      </c>
      <c r="N912">
        <f t="shared" si="44"/>
        <v>0</v>
      </c>
    </row>
    <row r="913" spans="1:14">
      <c r="A913">
        <v>7137</v>
      </c>
      <c r="B913" t="s">
        <v>1128</v>
      </c>
      <c r="C913" t="s">
        <v>755</v>
      </c>
      <c r="D913" t="s">
        <v>788</v>
      </c>
      <c r="E913">
        <v>30726</v>
      </c>
      <c r="G913" s="2">
        <v>0.43333333333333335</v>
      </c>
      <c r="H913" s="2">
        <v>0.4381944444444445</v>
      </c>
      <c r="J913">
        <v>0.10898234220891199</v>
      </c>
      <c r="K913" t="s">
        <v>790</v>
      </c>
      <c r="L913" t="str">
        <f t="shared" si="42"/>
        <v>46</v>
      </c>
      <c r="M913">
        <f t="shared" si="43"/>
        <v>0</v>
      </c>
      <c r="N913">
        <f t="shared" si="44"/>
        <v>0</v>
      </c>
    </row>
    <row r="914" spans="1:14">
      <c r="A914">
        <v>7137</v>
      </c>
      <c r="B914" t="s">
        <v>1128</v>
      </c>
      <c r="C914" t="s">
        <v>755</v>
      </c>
      <c r="D914" t="s">
        <v>788</v>
      </c>
      <c r="E914">
        <v>30726</v>
      </c>
      <c r="G914" s="2">
        <v>0.4381944444444445</v>
      </c>
      <c r="H914" s="2">
        <v>0.45624999999999999</v>
      </c>
      <c r="J914">
        <v>0.40479155677596002</v>
      </c>
      <c r="K914" t="s">
        <v>768</v>
      </c>
      <c r="L914" t="str">
        <f t="shared" si="42"/>
        <v>46</v>
      </c>
      <c r="M914">
        <f t="shared" si="43"/>
        <v>0</v>
      </c>
      <c r="N914">
        <f t="shared" si="44"/>
        <v>0</v>
      </c>
    </row>
    <row r="915" spans="1:14">
      <c r="A915">
        <v>7137</v>
      </c>
      <c r="B915" t="s">
        <v>1128</v>
      </c>
      <c r="C915" t="s">
        <v>755</v>
      </c>
      <c r="D915" t="s">
        <v>788</v>
      </c>
      <c r="E915">
        <v>30726</v>
      </c>
      <c r="G915" s="2">
        <v>0.45624999999999999</v>
      </c>
      <c r="H915" s="2">
        <v>0.75208333333333333</v>
      </c>
      <c r="J915">
        <v>6.6323539687138204</v>
      </c>
      <c r="K915" t="s">
        <v>789</v>
      </c>
      <c r="L915" t="str">
        <f t="shared" si="42"/>
        <v>46</v>
      </c>
      <c r="M915">
        <f t="shared" si="43"/>
        <v>0</v>
      </c>
      <c r="N915">
        <f t="shared" si="44"/>
        <v>0</v>
      </c>
    </row>
    <row r="916" spans="1:14">
      <c r="A916">
        <v>7766</v>
      </c>
      <c r="B916" t="s">
        <v>959</v>
      </c>
      <c r="C916" t="s">
        <v>755</v>
      </c>
      <c r="D916" t="s">
        <v>832</v>
      </c>
      <c r="E916">
        <v>429003</v>
      </c>
      <c r="G916" s="2">
        <v>0.52569444444444446</v>
      </c>
      <c r="H916" s="2">
        <v>0.67013888888888884</v>
      </c>
      <c r="J916">
        <v>3.2450117652309398</v>
      </c>
      <c r="K916" t="s">
        <v>799</v>
      </c>
      <c r="L916" t="str">
        <f t="shared" si="42"/>
        <v>33</v>
      </c>
      <c r="M916">
        <f t="shared" si="43"/>
        <v>0</v>
      </c>
      <c r="N916">
        <f t="shared" si="44"/>
        <v>0</v>
      </c>
    </row>
    <row r="917" spans="1:14">
      <c r="A917">
        <v>7766</v>
      </c>
      <c r="B917" t="s">
        <v>959</v>
      </c>
      <c r="C917" t="s">
        <v>755</v>
      </c>
      <c r="D917" t="s">
        <v>832</v>
      </c>
      <c r="E917">
        <v>429003</v>
      </c>
      <c r="G917" s="2">
        <v>0.67013888888888884</v>
      </c>
      <c r="H917" s="2">
        <v>0.68125000000000002</v>
      </c>
      <c r="J917">
        <v>0.249616289633149</v>
      </c>
      <c r="K917" t="s">
        <v>814</v>
      </c>
      <c r="L917" t="str">
        <f t="shared" si="42"/>
        <v>33</v>
      </c>
      <c r="M917">
        <f t="shared" si="43"/>
        <v>0</v>
      </c>
      <c r="N917">
        <f t="shared" si="44"/>
        <v>0</v>
      </c>
    </row>
    <row r="918" spans="1:14">
      <c r="A918">
        <v>7766</v>
      </c>
      <c r="B918" t="s">
        <v>959</v>
      </c>
      <c r="C918" t="s">
        <v>755</v>
      </c>
      <c r="D918" t="s">
        <v>832</v>
      </c>
      <c r="E918">
        <v>429003</v>
      </c>
      <c r="G918" s="2">
        <v>0.68125000000000002</v>
      </c>
      <c r="H918" s="2">
        <v>0.68333333333333324</v>
      </c>
      <c r="J918">
        <v>4.6803054306215397E-2</v>
      </c>
      <c r="K918" t="s">
        <v>800</v>
      </c>
      <c r="L918" t="str">
        <f t="shared" si="42"/>
        <v>33</v>
      </c>
      <c r="M918">
        <f t="shared" si="43"/>
        <v>0</v>
      </c>
      <c r="N918">
        <f t="shared" si="44"/>
        <v>0</v>
      </c>
    </row>
    <row r="919" spans="1:14">
      <c r="A919">
        <v>7766</v>
      </c>
      <c r="B919" t="s">
        <v>959</v>
      </c>
      <c r="C919" t="s">
        <v>755</v>
      </c>
      <c r="D919" t="s">
        <v>832</v>
      </c>
      <c r="E919">
        <v>429003</v>
      </c>
      <c r="G919" s="2">
        <v>0.68333333333333324</v>
      </c>
      <c r="H919" s="2">
        <v>0.7993055555555556</v>
      </c>
      <c r="J919">
        <v>2.6053700230459902</v>
      </c>
      <c r="K919" t="s">
        <v>798</v>
      </c>
      <c r="L919" t="str">
        <f t="shared" si="42"/>
        <v>33</v>
      </c>
      <c r="M919">
        <f t="shared" si="43"/>
        <v>0</v>
      </c>
      <c r="N919">
        <f t="shared" si="44"/>
        <v>0</v>
      </c>
    </row>
    <row r="920" spans="1:14">
      <c r="A920">
        <v>7766</v>
      </c>
      <c r="B920" t="s">
        <v>959</v>
      </c>
      <c r="C920" t="s">
        <v>755</v>
      </c>
      <c r="D920" t="s">
        <v>832</v>
      </c>
      <c r="E920">
        <v>429003</v>
      </c>
      <c r="G920" s="2">
        <v>0.7993055555555556</v>
      </c>
      <c r="H920" s="2">
        <v>0.81111111111111101</v>
      </c>
      <c r="J920">
        <v>0.26521730773522001</v>
      </c>
      <c r="K920" t="s">
        <v>799</v>
      </c>
      <c r="L920" t="str">
        <f t="shared" si="42"/>
        <v>33</v>
      </c>
      <c r="M920">
        <f t="shared" si="43"/>
        <v>0</v>
      </c>
      <c r="N920">
        <f t="shared" si="44"/>
        <v>0</v>
      </c>
    </row>
    <row r="921" spans="1:14">
      <c r="A921">
        <v>7766</v>
      </c>
      <c r="B921" t="s">
        <v>959</v>
      </c>
      <c r="C921" t="s">
        <v>755</v>
      </c>
      <c r="D921" t="s">
        <v>832</v>
      </c>
      <c r="E921">
        <v>429003</v>
      </c>
      <c r="G921" s="2">
        <v>0.81111111111111101</v>
      </c>
      <c r="H921" s="2">
        <v>0.81597222222222221</v>
      </c>
      <c r="J921">
        <v>0.109207126714503</v>
      </c>
      <c r="K921" t="s">
        <v>798</v>
      </c>
      <c r="L921" t="str">
        <f t="shared" si="42"/>
        <v>33</v>
      </c>
      <c r="M921">
        <f t="shared" si="43"/>
        <v>0</v>
      </c>
      <c r="N921">
        <f t="shared" si="44"/>
        <v>0</v>
      </c>
    </row>
    <row r="922" spans="1:14">
      <c r="A922">
        <v>7766</v>
      </c>
      <c r="B922" t="s">
        <v>959</v>
      </c>
      <c r="C922" t="s">
        <v>755</v>
      </c>
      <c r="D922" t="s">
        <v>832</v>
      </c>
      <c r="E922">
        <v>429003</v>
      </c>
      <c r="G922" s="2">
        <v>0.81597222222222221</v>
      </c>
      <c r="H922" s="2">
        <v>0.85416666666666663</v>
      </c>
      <c r="J922">
        <v>0.85805599561394896</v>
      </c>
      <c r="K922" t="s">
        <v>799</v>
      </c>
      <c r="L922" t="str">
        <f t="shared" si="42"/>
        <v>33</v>
      </c>
      <c r="M922">
        <f t="shared" si="43"/>
        <v>0</v>
      </c>
      <c r="N922">
        <f t="shared" si="44"/>
        <v>0</v>
      </c>
    </row>
    <row r="923" spans="1:14">
      <c r="A923">
        <v>7139</v>
      </c>
      <c r="B923" t="s">
        <v>1129</v>
      </c>
      <c r="C923" t="s">
        <v>754</v>
      </c>
      <c r="D923" t="s">
        <v>839</v>
      </c>
      <c r="E923">
        <v>18928</v>
      </c>
      <c r="G923" s="2">
        <v>0.16944444444444443</v>
      </c>
      <c r="H923" s="2">
        <v>0.17152777777777775</v>
      </c>
      <c r="J923">
        <v>4.7454882420451802E-2</v>
      </c>
      <c r="K923" t="s">
        <v>798</v>
      </c>
      <c r="L923" t="str">
        <f t="shared" si="42"/>
        <v>33</v>
      </c>
      <c r="M923">
        <f t="shared" si="43"/>
        <v>0</v>
      </c>
      <c r="N923">
        <f t="shared" si="44"/>
        <v>0</v>
      </c>
    </row>
    <row r="924" spans="1:14">
      <c r="A924">
        <v>7139</v>
      </c>
      <c r="B924" t="s">
        <v>1129</v>
      </c>
      <c r="C924" t="s">
        <v>754</v>
      </c>
      <c r="D924" t="s">
        <v>839</v>
      </c>
      <c r="E924">
        <v>18928</v>
      </c>
      <c r="G924" s="2">
        <v>0.17152777777777775</v>
      </c>
      <c r="H924" s="2">
        <v>0.21249999999999999</v>
      </c>
      <c r="J924">
        <v>0.93327935426888498</v>
      </c>
      <c r="K924" t="s">
        <v>799</v>
      </c>
      <c r="L924" t="str">
        <f t="shared" si="42"/>
        <v>33</v>
      </c>
      <c r="M924">
        <f t="shared" si="43"/>
        <v>0</v>
      </c>
      <c r="N924">
        <f t="shared" si="44"/>
        <v>0</v>
      </c>
    </row>
    <row r="925" spans="1:14">
      <c r="A925">
        <v>7139</v>
      </c>
      <c r="B925" t="s">
        <v>1129</v>
      </c>
      <c r="C925" t="s">
        <v>754</v>
      </c>
      <c r="D925" t="s">
        <v>839</v>
      </c>
      <c r="E925">
        <v>18928</v>
      </c>
      <c r="G925" s="2">
        <v>0.21249999999999999</v>
      </c>
      <c r="H925" s="2">
        <v>0.22638888888888889</v>
      </c>
      <c r="J925">
        <v>0.31636588280301098</v>
      </c>
      <c r="K925" t="s">
        <v>798</v>
      </c>
      <c r="L925" t="str">
        <f t="shared" si="42"/>
        <v>33</v>
      </c>
      <c r="M925">
        <f t="shared" si="43"/>
        <v>0</v>
      </c>
      <c r="N925">
        <f t="shared" si="44"/>
        <v>0</v>
      </c>
    </row>
    <row r="926" spans="1:14">
      <c r="A926">
        <v>7139</v>
      </c>
      <c r="B926" t="s">
        <v>1129</v>
      </c>
      <c r="C926" t="s">
        <v>754</v>
      </c>
      <c r="D926" t="s">
        <v>839</v>
      </c>
      <c r="E926">
        <v>18928</v>
      </c>
      <c r="G926" s="2">
        <v>0.22638888888888889</v>
      </c>
      <c r="H926" s="2">
        <v>0.23472222222222219</v>
      </c>
      <c r="J926">
        <v>0.18981952968180699</v>
      </c>
      <c r="K926" t="s">
        <v>814</v>
      </c>
      <c r="L926" t="str">
        <f t="shared" si="42"/>
        <v>33</v>
      </c>
      <c r="M926">
        <f t="shared" si="43"/>
        <v>0</v>
      </c>
      <c r="N926">
        <f t="shared" si="44"/>
        <v>0</v>
      </c>
    </row>
    <row r="927" spans="1:14">
      <c r="A927">
        <v>7139</v>
      </c>
      <c r="B927" t="s">
        <v>1129</v>
      </c>
      <c r="C927" t="s">
        <v>754</v>
      </c>
      <c r="D927" t="s">
        <v>839</v>
      </c>
      <c r="E927">
        <v>18928</v>
      </c>
      <c r="G927" s="2">
        <v>0.23472222222222219</v>
      </c>
      <c r="H927" s="2">
        <v>0.25</v>
      </c>
      <c r="J927">
        <v>0.348002471083313</v>
      </c>
      <c r="K927" t="s">
        <v>798</v>
      </c>
      <c r="L927" t="str">
        <f t="shared" si="42"/>
        <v>33</v>
      </c>
      <c r="M927">
        <f t="shared" si="43"/>
        <v>0</v>
      </c>
      <c r="N927">
        <f t="shared" si="44"/>
        <v>0</v>
      </c>
    </row>
    <row r="928" spans="1:14">
      <c r="A928">
        <v>7139</v>
      </c>
      <c r="B928" t="s">
        <v>1129</v>
      </c>
      <c r="C928" t="s">
        <v>754</v>
      </c>
      <c r="D928" t="s">
        <v>839</v>
      </c>
      <c r="E928">
        <v>18928</v>
      </c>
      <c r="G928" s="2">
        <v>0.25</v>
      </c>
      <c r="H928" s="2">
        <v>0.2590277777777778</v>
      </c>
      <c r="J928">
        <v>0.205637823821958</v>
      </c>
      <c r="K928" t="s">
        <v>814</v>
      </c>
      <c r="L928" t="str">
        <f t="shared" si="42"/>
        <v>33</v>
      </c>
      <c r="M928">
        <f t="shared" si="43"/>
        <v>0</v>
      </c>
      <c r="N928">
        <f t="shared" si="44"/>
        <v>0</v>
      </c>
    </row>
    <row r="929" spans="1:14">
      <c r="A929">
        <v>7139</v>
      </c>
      <c r="B929" t="s">
        <v>1129</v>
      </c>
      <c r="C929" t="s">
        <v>754</v>
      </c>
      <c r="D929" t="s">
        <v>839</v>
      </c>
      <c r="E929">
        <v>18928</v>
      </c>
      <c r="G929" s="2">
        <v>0.2590277777777778</v>
      </c>
      <c r="H929" s="2">
        <v>0.26458333333333334</v>
      </c>
      <c r="J929">
        <v>0.12654635312120399</v>
      </c>
      <c r="K929" t="s">
        <v>798</v>
      </c>
      <c r="L929" t="str">
        <f t="shared" si="42"/>
        <v>33</v>
      </c>
      <c r="M929">
        <f t="shared" si="43"/>
        <v>0</v>
      </c>
      <c r="N929">
        <f t="shared" si="44"/>
        <v>0</v>
      </c>
    </row>
    <row r="930" spans="1:14">
      <c r="A930">
        <v>7139</v>
      </c>
      <c r="B930" t="s">
        <v>1129</v>
      </c>
      <c r="C930" t="s">
        <v>754</v>
      </c>
      <c r="D930" t="s">
        <v>839</v>
      </c>
      <c r="E930">
        <v>18928</v>
      </c>
      <c r="G930" s="2">
        <v>0.26458333333333334</v>
      </c>
      <c r="H930" s="2">
        <v>0.27986111111111112</v>
      </c>
      <c r="J930">
        <v>0.348002471083313</v>
      </c>
      <c r="K930" t="s">
        <v>814</v>
      </c>
      <c r="L930" t="str">
        <f t="shared" si="42"/>
        <v>33</v>
      </c>
      <c r="M930">
        <f t="shared" si="43"/>
        <v>0</v>
      </c>
      <c r="N930">
        <f t="shared" si="44"/>
        <v>0</v>
      </c>
    </row>
    <row r="931" spans="1:14">
      <c r="A931">
        <v>7139</v>
      </c>
      <c r="B931" t="s">
        <v>1129</v>
      </c>
      <c r="C931" t="s">
        <v>754</v>
      </c>
      <c r="D931" t="s">
        <v>839</v>
      </c>
      <c r="E931">
        <v>18928</v>
      </c>
      <c r="G931" s="2">
        <v>0.27986111111111112</v>
      </c>
      <c r="H931" s="2">
        <v>0.29166666666666669</v>
      </c>
      <c r="J931">
        <v>0.26891100038255999</v>
      </c>
      <c r="K931" t="s">
        <v>798</v>
      </c>
      <c r="L931" t="str">
        <f t="shared" si="42"/>
        <v>33</v>
      </c>
      <c r="M931">
        <f t="shared" si="43"/>
        <v>0</v>
      </c>
      <c r="N931">
        <f t="shared" si="44"/>
        <v>0</v>
      </c>
    </row>
    <row r="932" spans="1:14">
      <c r="A932">
        <v>7139</v>
      </c>
      <c r="B932" t="s">
        <v>1129</v>
      </c>
      <c r="C932" t="s">
        <v>754</v>
      </c>
      <c r="D932" t="s">
        <v>839</v>
      </c>
      <c r="E932">
        <v>18928</v>
      </c>
      <c r="G932" s="2">
        <v>0.29166666666666669</v>
      </c>
      <c r="H932" s="2">
        <v>0.29652777777777778</v>
      </c>
      <c r="J932">
        <v>0.11072805898105401</v>
      </c>
      <c r="K932" t="s">
        <v>814</v>
      </c>
      <c r="L932" t="str">
        <f t="shared" si="42"/>
        <v>33</v>
      </c>
      <c r="M932">
        <f t="shared" si="43"/>
        <v>0</v>
      </c>
      <c r="N932">
        <f t="shared" si="44"/>
        <v>0</v>
      </c>
    </row>
    <row r="933" spans="1:14">
      <c r="A933">
        <v>7139</v>
      </c>
      <c r="B933" t="s">
        <v>1129</v>
      </c>
      <c r="C933" t="s">
        <v>754</v>
      </c>
      <c r="D933" t="s">
        <v>839</v>
      </c>
      <c r="E933">
        <v>18928</v>
      </c>
      <c r="G933" s="2">
        <v>0.29652777777777778</v>
      </c>
      <c r="H933" s="2">
        <v>0.2986111111111111</v>
      </c>
      <c r="J933">
        <v>4.7454882420451802E-2</v>
      </c>
      <c r="K933" t="s">
        <v>798</v>
      </c>
      <c r="L933" t="str">
        <f t="shared" si="42"/>
        <v>33</v>
      </c>
      <c r="M933">
        <f t="shared" si="43"/>
        <v>0</v>
      </c>
      <c r="N933">
        <f t="shared" si="44"/>
        <v>0</v>
      </c>
    </row>
    <row r="934" spans="1:14">
      <c r="A934">
        <v>7139</v>
      </c>
      <c r="B934" t="s">
        <v>1129</v>
      </c>
      <c r="C934" t="s">
        <v>754</v>
      </c>
      <c r="D934" t="s">
        <v>839</v>
      </c>
      <c r="E934">
        <v>18928</v>
      </c>
      <c r="G934" s="2">
        <v>0.2986111111111111</v>
      </c>
      <c r="H934" s="2">
        <v>0.30069444444444443</v>
      </c>
      <c r="J934">
        <v>4.7454882420451802E-2</v>
      </c>
      <c r="K934" t="s">
        <v>814</v>
      </c>
      <c r="L934" t="str">
        <f t="shared" si="42"/>
        <v>33</v>
      </c>
      <c r="M934">
        <f t="shared" si="43"/>
        <v>0</v>
      </c>
      <c r="N934">
        <f t="shared" si="44"/>
        <v>0</v>
      </c>
    </row>
    <row r="935" spans="1:14">
      <c r="A935">
        <v>7139</v>
      </c>
      <c r="B935" t="s">
        <v>1129</v>
      </c>
      <c r="C935" t="s">
        <v>754</v>
      </c>
      <c r="D935" t="s">
        <v>839</v>
      </c>
      <c r="E935">
        <v>18928</v>
      </c>
      <c r="G935" s="2">
        <v>0.30069444444444443</v>
      </c>
      <c r="H935" s="2">
        <v>0.35486111111111113</v>
      </c>
      <c r="J935">
        <v>1.2338269429317399</v>
      </c>
      <c r="K935" t="s">
        <v>798</v>
      </c>
      <c r="L935" t="str">
        <f t="shared" si="42"/>
        <v>33</v>
      </c>
      <c r="M935">
        <f t="shared" si="43"/>
        <v>0</v>
      </c>
      <c r="N935">
        <f t="shared" si="44"/>
        <v>0</v>
      </c>
    </row>
    <row r="936" spans="1:14">
      <c r="A936">
        <v>7139</v>
      </c>
      <c r="B936" t="s">
        <v>1129</v>
      </c>
      <c r="C936" t="s">
        <v>754</v>
      </c>
      <c r="D936" t="s">
        <v>839</v>
      </c>
      <c r="E936">
        <v>18928</v>
      </c>
      <c r="G936" s="2">
        <v>0.35486111111111113</v>
      </c>
      <c r="H936" s="2">
        <v>0.3659722222222222</v>
      </c>
      <c r="J936">
        <v>0.25309270624240998</v>
      </c>
      <c r="K936" t="s">
        <v>814</v>
      </c>
      <c r="L936" t="str">
        <f t="shared" si="42"/>
        <v>33</v>
      </c>
      <c r="M936">
        <f t="shared" si="43"/>
        <v>0</v>
      </c>
      <c r="N936">
        <f t="shared" si="44"/>
        <v>0</v>
      </c>
    </row>
    <row r="937" spans="1:14">
      <c r="A937">
        <v>7139</v>
      </c>
      <c r="B937" t="s">
        <v>1129</v>
      </c>
      <c r="C937" t="s">
        <v>754</v>
      </c>
      <c r="D937" t="s">
        <v>839</v>
      </c>
      <c r="E937">
        <v>18928</v>
      </c>
      <c r="G937" s="2">
        <v>0.3659722222222222</v>
      </c>
      <c r="H937" s="2">
        <v>0.38750000000000001</v>
      </c>
      <c r="J937">
        <v>0.49036711834466901</v>
      </c>
      <c r="K937" t="s">
        <v>799</v>
      </c>
      <c r="L937" t="str">
        <f t="shared" si="42"/>
        <v>33</v>
      </c>
      <c r="M937">
        <f t="shared" si="43"/>
        <v>0</v>
      </c>
      <c r="N937">
        <f t="shared" si="44"/>
        <v>0</v>
      </c>
    </row>
    <row r="938" spans="1:14">
      <c r="A938">
        <v>7139</v>
      </c>
      <c r="B938" t="s">
        <v>1129</v>
      </c>
      <c r="C938" t="s">
        <v>754</v>
      </c>
      <c r="D938" t="s">
        <v>839</v>
      </c>
      <c r="E938">
        <v>18928</v>
      </c>
      <c r="G938" s="2">
        <v>0.38750000000000001</v>
      </c>
      <c r="H938" s="2">
        <v>0.39930555555555558</v>
      </c>
      <c r="J938">
        <v>0.26891100038255999</v>
      </c>
      <c r="K938" t="s">
        <v>798</v>
      </c>
      <c r="L938" t="str">
        <f t="shared" si="42"/>
        <v>33</v>
      </c>
      <c r="M938">
        <f t="shared" si="43"/>
        <v>0</v>
      </c>
      <c r="N938">
        <f t="shared" si="44"/>
        <v>0</v>
      </c>
    </row>
    <row r="939" spans="1:14">
      <c r="A939">
        <v>7139</v>
      </c>
      <c r="B939" t="s">
        <v>1129</v>
      </c>
      <c r="C939" t="s">
        <v>754</v>
      </c>
      <c r="D939" t="s">
        <v>839</v>
      </c>
      <c r="E939">
        <v>18928</v>
      </c>
      <c r="G939" s="2">
        <v>0.39930555555555558</v>
      </c>
      <c r="H939" s="2">
        <v>0.43888888888888888</v>
      </c>
      <c r="J939">
        <v>0.90164276598858395</v>
      </c>
      <c r="K939" t="s">
        <v>799</v>
      </c>
      <c r="L939" t="str">
        <f t="shared" si="42"/>
        <v>33</v>
      </c>
      <c r="M939">
        <f t="shared" si="43"/>
        <v>0</v>
      </c>
      <c r="N939">
        <f t="shared" si="44"/>
        <v>0</v>
      </c>
    </row>
    <row r="940" spans="1:14">
      <c r="A940">
        <v>7139</v>
      </c>
      <c r="B940" t="s">
        <v>1129</v>
      </c>
      <c r="C940" t="s">
        <v>754</v>
      </c>
      <c r="D940" t="s">
        <v>839</v>
      </c>
      <c r="E940">
        <v>18928</v>
      </c>
      <c r="G940" s="2">
        <v>0.43888888888888888</v>
      </c>
      <c r="H940" s="2">
        <v>0.4513888888888889</v>
      </c>
      <c r="J940">
        <v>0.28472929452271001</v>
      </c>
      <c r="K940" t="s">
        <v>798</v>
      </c>
      <c r="L940" t="str">
        <f t="shared" si="42"/>
        <v>33</v>
      </c>
      <c r="M940">
        <f t="shared" si="43"/>
        <v>0</v>
      </c>
      <c r="N940">
        <f t="shared" si="44"/>
        <v>0</v>
      </c>
    </row>
    <row r="941" spans="1:14">
      <c r="A941">
        <v>7139</v>
      </c>
      <c r="B941" t="s">
        <v>1129</v>
      </c>
      <c r="C941" t="s">
        <v>754</v>
      </c>
      <c r="D941" t="s">
        <v>839</v>
      </c>
      <c r="E941">
        <v>18928</v>
      </c>
      <c r="G941" s="2">
        <v>0.4513888888888889</v>
      </c>
      <c r="H941" s="2">
        <v>0.46597222222222223</v>
      </c>
      <c r="J941">
        <v>0.33218417694316199</v>
      </c>
      <c r="K941" t="s">
        <v>814</v>
      </c>
      <c r="L941" t="str">
        <f t="shared" si="42"/>
        <v>33</v>
      </c>
      <c r="M941">
        <f t="shared" si="43"/>
        <v>0</v>
      </c>
      <c r="N941">
        <f t="shared" si="44"/>
        <v>0</v>
      </c>
    </row>
    <row r="942" spans="1:14">
      <c r="A942">
        <v>7139</v>
      </c>
      <c r="B942" t="s">
        <v>1129</v>
      </c>
      <c r="C942" t="s">
        <v>754</v>
      </c>
      <c r="D942" t="s">
        <v>839</v>
      </c>
      <c r="E942">
        <v>18928</v>
      </c>
      <c r="G942" s="2">
        <v>0.46597222222222223</v>
      </c>
      <c r="H942" s="2">
        <v>0.47222222222222227</v>
      </c>
      <c r="J942">
        <v>0.142364647261355</v>
      </c>
      <c r="K942" t="s">
        <v>798</v>
      </c>
      <c r="L942" t="str">
        <f t="shared" si="42"/>
        <v>33</v>
      </c>
      <c r="M942">
        <f t="shared" si="43"/>
        <v>0</v>
      </c>
      <c r="N942">
        <f t="shared" si="44"/>
        <v>0</v>
      </c>
    </row>
    <row r="943" spans="1:14">
      <c r="A943">
        <v>7139</v>
      </c>
      <c r="B943" t="s">
        <v>1129</v>
      </c>
      <c r="C943" t="s">
        <v>754</v>
      </c>
      <c r="D943" t="s">
        <v>839</v>
      </c>
      <c r="E943">
        <v>18928</v>
      </c>
      <c r="G943" s="2">
        <v>0.47222222222222227</v>
      </c>
      <c r="H943" s="2">
        <v>0.47430555555555554</v>
      </c>
      <c r="J943">
        <v>4.7454882420451802E-2</v>
      </c>
      <c r="K943" t="s">
        <v>834</v>
      </c>
      <c r="L943" t="str">
        <f t="shared" si="42"/>
        <v>33</v>
      </c>
      <c r="M943">
        <f t="shared" si="43"/>
        <v>0</v>
      </c>
      <c r="N943">
        <f t="shared" si="44"/>
        <v>0</v>
      </c>
    </row>
    <row r="944" spans="1:14">
      <c r="A944">
        <v>7139</v>
      </c>
      <c r="B944" t="s">
        <v>1129</v>
      </c>
      <c r="C944" t="s">
        <v>754</v>
      </c>
      <c r="D944" t="s">
        <v>839</v>
      </c>
      <c r="E944">
        <v>18928</v>
      </c>
      <c r="G944" s="2">
        <v>0.47430555555555554</v>
      </c>
      <c r="H944" s="2">
        <v>0.51458333333333328</v>
      </c>
      <c r="J944">
        <v>0.91746106012873496</v>
      </c>
      <c r="K944" t="s">
        <v>798</v>
      </c>
      <c r="L944" t="str">
        <f t="shared" si="42"/>
        <v>33</v>
      </c>
      <c r="M944">
        <f t="shared" si="43"/>
        <v>0</v>
      </c>
      <c r="N944">
        <f t="shared" si="44"/>
        <v>0</v>
      </c>
    </row>
    <row r="945" spans="1:14">
      <c r="A945">
        <v>7139</v>
      </c>
      <c r="B945" t="s">
        <v>1129</v>
      </c>
      <c r="C945" t="s">
        <v>754</v>
      </c>
      <c r="D945" t="s">
        <v>839</v>
      </c>
      <c r="E945">
        <v>18928</v>
      </c>
      <c r="G945" s="2">
        <v>0.51458333333333328</v>
      </c>
      <c r="H945" s="2">
        <v>0.58333333333333337</v>
      </c>
      <c r="J945">
        <v>1.56601111987491</v>
      </c>
      <c r="K945" t="s">
        <v>799</v>
      </c>
      <c r="L945" t="str">
        <f t="shared" si="42"/>
        <v>33</v>
      </c>
      <c r="M945">
        <f t="shared" si="43"/>
        <v>0</v>
      </c>
      <c r="N945">
        <f t="shared" si="44"/>
        <v>0</v>
      </c>
    </row>
    <row r="946" spans="1:14">
      <c r="A946">
        <v>7806</v>
      </c>
      <c r="B946" t="s">
        <v>1130</v>
      </c>
      <c r="C946" t="s">
        <v>755</v>
      </c>
      <c r="D946" t="s">
        <v>757</v>
      </c>
      <c r="E946">
        <v>440655</v>
      </c>
      <c r="G946" s="2">
        <v>0.20833333333333334</v>
      </c>
      <c r="H946" s="2">
        <v>0.38611111111111113</v>
      </c>
      <c r="J946">
        <v>4.0156862745098003</v>
      </c>
      <c r="K946" t="s">
        <v>819</v>
      </c>
      <c r="L946" t="str">
        <f t="shared" si="42"/>
        <v>33</v>
      </c>
      <c r="M946">
        <f t="shared" si="43"/>
        <v>0</v>
      </c>
      <c r="N946">
        <f t="shared" si="44"/>
        <v>0</v>
      </c>
    </row>
    <row r="947" spans="1:14">
      <c r="A947">
        <v>7806</v>
      </c>
      <c r="B947" t="s">
        <v>1130</v>
      </c>
      <c r="C947" t="s">
        <v>755</v>
      </c>
      <c r="D947" t="s">
        <v>757</v>
      </c>
      <c r="E947">
        <v>440655</v>
      </c>
      <c r="G947" s="2">
        <v>0.38611111111111113</v>
      </c>
      <c r="H947" s="2">
        <v>0.5625</v>
      </c>
      <c r="J947">
        <v>3.9843137254901899</v>
      </c>
      <c r="K947" t="s">
        <v>759</v>
      </c>
      <c r="L947" t="str">
        <f t="shared" si="42"/>
        <v>33</v>
      </c>
      <c r="M947">
        <f t="shared" si="43"/>
        <v>0</v>
      </c>
      <c r="N947">
        <f t="shared" si="44"/>
        <v>0</v>
      </c>
    </row>
    <row r="948" spans="1:14">
      <c r="A948">
        <v>7080</v>
      </c>
      <c r="B948" t="s">
        <v>1243</v>
      </c>
      <c r="C948" t="s">
        <v>754</v>
      </c>
      <c r="D948" t="s">
        <v>766</v>
      </c>
      <c r="E948">
        <v>253969</v>
      </c>
      <c r="G948" s="2">
        <v>0.3444444444444445</v>
      </c>
      <c r="H948" s="2">
        <v>0.35138888888888892</v>
      </c>
      <c r="J948">
        <v>0.16501488095238101</v>
      </c>
      <c r="K948" t="s">
        <v>767</v>
      </c>
      <c r="L948" t="str">
        <f t="shared" si="42"/>
        <v>37</v>
      </c>
      <c r="M948">
        <f t="shared" si="43"/>
        <v>0</v>
      </c>
      <c r="N948">
        <f t="shared" si="44"/>
        <v>0</v>
      </c>
    </row>
    <row r="949" spans="1:14">
      <c r="A949">
        <v>7080</v>
      </c>
      <c r="B949" t="s">
        <v>1243</v>
      </c>
      <c r="C949" t="s">
        <v>754</v>
      </c>
      <c r="D949" t="s">
        <v>766</v>
      </c>
      <c r="E949">
        <v>253969</v>
      </c>
      <c r="G949" s="2">
        <v>0.35138888888888892</v>
      </c>
      <c r="H949" s="2">
        <v>0.41249999999999998</v>
      </c>
      <c r="J949">
        <v>1.45213095238095</v>
      </c>
      <c r="K949" t="s">
        <v>768</v>
      </c>
      <c r="L949" t="str">
        <f t="shared" si="42"/>
        <v>46</v>
      </c>
      <c r="M949">
        <f t="shared" si="43"/>
        <v>0</v>
      </c>
      <c r="N949">
        <f t="shared" si="44"/>
        <v>0</v>
      </c>
    </row>
    <row r="950" spans="1:14">
      <c r="A950">
        <v>7080</v>
      </c>
      <c r="B950" t="s">
        <v>1243</v>
      </c>
      <c r="C950" t="s">
        <v>754</v>
      </c>
      <c r="D950" t="s">
        <v>766</v>
      </c>
      <c r="E950">
        <v>253969</v>
      </c>
      <c r="G950" s="2">
        <v>0.41249999999999998</v>
      </c>
      <c r="H950" s="2">
        <v>0.5</v>
      </c>
      <c r="J950">
        <v>2.07918749999999</v>
      </c>
      <c r="K950" t="s">
        <v>951</v>
      </c>
      <c r="L950" t="str">
        <f t="shared" si="42"/>
        <v>37</v>
      </c>
      <c r="M950">
        <f t="shared" si="43"/>
        <v>0</v>
      </c>
      <c r="N950">
        <f t="shared" si="44"/>
        <v>0</v>
      </c>
    </row>
    <row r="951" spans="1:14">
      <c r="A951">
        <v>7359</v>
      </c>
      <c r="B951" t="s">
        <v>960</v>
      </c>
      <c r="C951" t="s">
        <v>754</v>
      </c>
      <c r="D951" t="s">
        <v>852</v>
      </c>
      <c r="E951">
        <v>38219</v>
      </c>
      <c r="G951" s="2">
        <v>0.29236111111111113</v>
      </c>
      <c r="H951" s="2">
        <v>0.47916666666666669</v>
      </c>
      <c r="J951">
        <v>4.4827142857142697</v>
      </c>
      <c r="K951" t="s">
        <v>824</v>
      </c>
      <c r="L951" t="str">
        <f t="shared" si="42"/>
        <v>33</v>
      </c>
      <c r="M951">
        <f t="shared" si="43"/>
        <v>0</v>
      </c>
      <c r="N951">
        <f t="shared" si="44"/>
        <v>0</v>
      </c>
    </row>
    <row r="952" spans="1:14">
      <c r="A952">
        <v>7141</v>
      </c>
      <c r="B952" t="s">
        <v>1131</v>
      </c>
      <c r="C952" t="s">
        <v>754</v>
      </c>
      <c r="D952" t="s">
        <v>795</v>
      </c>
      <c r="E952">
        <v>18917</v>
      </c>
      <c r="G952" s="2">
        <v>0.84097222222222223</v>
      </c>
      <c r="H952" s="2">
        <v>6.458333333333334E-2</v>
      </c>
      <c r="J952">
        <v>5.3732901715765502</v>
      </c>
      <c r="K952" t="s">
        <v>871</v>
      </c>
      <c r="L952" t="str">
        <f t="shared" si="42"/>
        <v>37</v>
      </c>
      <c r="M952">
        <f t="shared" si="43"/>
        <v>0</v>
      </c>
      <c r="N952">
        <f t="shared" si="44"/>
        <v>0</v>
      </c>
    </row>
    <row r="953" spans="1:14">
      <c r="A953">
        <v>7141</v>
      </c>
      <c r="B953" t="s">
        <v>1131</v>
      </c>
      <c r="C953" t="s">
        <v>754</v>
      </c>
      <c r="D953" t="s">
        <v>795</v>
      </c>
      <c r="E953">
        <v>18917</v>
      </c>
      <c r="G953" s="2">
        <v>6.458333333333334E-2</v>
      </c>
      <c r="H953" s="2">
        <v>7.8472222222222221E-2</v>
      </c>
      <c r="J953">
        <v>0.33374473115381997</v>
      </c>
      <c r="K953" t="s">
        <v>767</v>
      </c>
      <c r="L953" t="str">
        <f t="shared" si="42"/>
        <v>37</v>
      </c>
      <c r="M953">
        <f t="shared" si="43"/>
        <v>0</v>
      </c>
      <c r="N953">
        <f t="shared" si="44"/>
        <v>0</v>
      </c>
    </row>
    <row r="954" spans="1:14">
      <c r="A954">
        <v>7141</v>
      </c>
      <c r="B954" t="s">
        <v>1131</v>
      </c>
      <c r="C954" t="s">
        <v>754</v>
      </c>
      <c r="D954" t="s">
        <v>795</v>
      </c>
      <c r="E954">
        <v>18917</v>
      </c>
      <c r="G954" s="2">
        <v>7.8472222222222221E-2</v>
      </c>
      <c r="H954" s="2">
        <v>0.14027777777777778</v>
      </c>
      <c r="J954">
        <v>1.4851640536345001</v>
      </c>
      <c r="K954" t="s">
        <v>796</v>
      </c>
      <c r="L954" t="str">
        <f t="shared" si="42"/>
        <v>37</v>
      </c>
      <c r="M954">
        <f t="shared" si="43"/>
        <v>0</v>
      </c>
      <c r="N954">
        <f t="shared" si="44"/>
        <v>0</v>
      </c>
    </row>
    <row r="955" spans="1:14">
      <c r="A955">
        <v>7141</v>
      </c>
      <c r="B955" t="s">
        <v>1131</v>
      </c>
      <c r="C955" t="s">
        <v>754</v>
      </c>
      <c r="D955" t="s">
        <v>795</v>
      </c>
      <c r="E955">
        <v>18917</v>
      </c>
      <c r="G955" s="2">
        <v>0.14027777777777778</v>
      </c>
      <c r="H955" s="2">
        <v>0.14861111111111111</v>
      </c>
      <c r="J955">
        <v>0.20024683869229201</v>
      </c>
      <c r="K955" t="s">
        <v>767</v>
      </c>
      <c r="L955" t="str">
        <f t="shared" si="42"/>
        <v>37</v>
      </c>
      <c r="M955">
        <f t="shared" si="43"/>
        <v>0</v>
      </c>
      <c r="N955">
        <f t="shared" si="44"/>
        <v>0</v>
      </c>
    </row>
    <row r="956" spans="1:14">
      <c r="A956">
        <v>7141</v>
      </c>
      <c r="B956" t="s">
        <v>1131</v>
      </c>
      <c r="C956" t="s">
        <v>754</v>
      </c>
      <c r="D956" t="s">
        <v>795</v>
      </c>
      <c r="E956">
        <v>18917</v>
      </c>
      <c r="G956" s="2">
        <v>0.14861111111111111</v>
      </c>
      <c r="H956" s="2">
        <v>0.15</v>
      </c>
      <c r="J956">
        <v>3.3374473115381997E-2</v>
      </c>
      <c r="K956" t="s">
        <v>796</v>
      </c>
      <c r="L956" t="str">
        <f t="shared" si="42"/>
        <v>37</v>
      </c>
      <c r="M956">
        <f t="shared" si="43"/>
        <v>0</v>
      </c>
      <c r="N956">
        <f t="shared" si="44"/>
        <v>0</v>
      </c>
    </row>
    <row r="957" spans="1:14">
      <c r="A957">
        <v>7141</v>
      </c>
      <c r="B957" t="s">
        <v>1131</v>
      </c>
      <c r="C957" t="s">
        <v>754</v>
      </c>
      <c r="D957" t="s">
        <v>795</v>
      </c>
      <c r="E957">
        <v>18917</v>
      </c>
      <c r="G957" s="2">
        <v>0.15</v>
      </c>
      <c r="H957" s="2">
        <v>0.15208333333333332</v>
      </c>
      <c r="J957">
        <v>5.00617096730731E-2</v>
      </c>
      <c r="K957" t="s">
        <v>767</v>
      </c>
      <c r="L957" t="str">
        <f t="shared" si="42"/>
        <v>37</v>
      </c>
      <c r="M957">
        <f t="shared" si="43"/>
        <v>0</v>
      </c>
      <c r="N957">
        <f t="shared" si="44"/>
        <v>0</v>
      </c>
    </row>
    <row r="958" spans="1:14">
      <c r="A958">
        <v>7141</v>
      </c>
      <c r="B958" t="s">
        <v>1131</v>
      </c>
      <c r="C958" t="s">
        <v>754</v>
      </c>
      <c r="D958" t="s">
        <v>795</v>
      </c>
      <c r="E958">
        <v>18917</v>
      </c>
      <c r="G958" s="2">
        <v>0.15208333333333332</v>
      </c>
      <c r="H958" s="2">
        <v>0.15347222222222223</v>
      </c>
      <c r="J958">
        <v>3.3374473115381997E-2</v>
      </c>
      <c r="K958" t="s">
        <v>796</v>
      </c>
      <c r="L958" t="str">
        <f t="shared" si="42"/>
        <v>37</v>
      </c>
      <c r="M958">
        <f t="shared" si="43"/>
        <v>0</v>
      </c>
      <c r="N958">
        <f t="shared" si="44"/>
        <v>0</v>
      </c>
    </row>
    <row r="959" spans="1:14">
      <c r="A959">
        <v>7141</v>
      </c>
      <c r="B959" t="s">
        <v>1131</v>
      </c>
      <c r="C959" t="s">
        <v>754</v>
      </c>
      <c r="D959" t="s">
        <v>795</v>
      </c>
      <c r="E959">
        <v>18917</v>
      </c>
      <c r="G959" s="2">
        <v>0.15347222222222223</v>
      </c>
      <c r="H959" s="2">
        <v>0.15833333333333333</v>
      </c>
      <c r="J959">
        <v>0.116810655903837</v>
      </c>
      <c r="K959" t="s">
        <v>767</v>
      </c>
      <c r="L959" t="str">
        <f t="shared" si="42"/>
        <v>37</v>
      </c>
      <c r="M959">
        <f t="shared" si="43"/>
        <v>0</v>
      </c>
      <c r="N959">
        <f t="shared" si="44"/>
        <v>0</v>
      </c>
    </row>
    <row r="960" spans="1:14">
      <c r="A960">
        <v>7141</v>
      </c>
      <c r="B960" t="s">
        <v>1131</v>
      </c>
      <c r="C960" t="s">
        <v>754</v>
      </c>
      <c r="D960" t="s">
        <v>795</v>
      </c>
      <c r="E960">
        <v>18917</v>
      </c>
      <c r="G960" s="2">
        <v>0.15833333333333333</v>
      </c>
      <c r="H960" s="2">
        <v>0.18611111111111112</v>
      </c>
      <c r="J960">
        <v>0.66748946230764195</v>
      </c>
      <c r="K960" t="s">
        <v>796</v>
      </c>
      <c r="L960" t="str">
        <f t="shared" si="42"/>
        <v>37</v>
      </c>
      <c r="M960">
        <f t="shared" si="43"/>
        <v>0</v>
      </c>
      <c r="N960">
        <f t="shared" si="44"/>
        <v>0</v>
      </c>
    </row>
    <row r="961" spans="1:14">
      <c r="A961">
        <v>7141</v>
      </c>
      <c r="B961" t="s">
        <v>1131</v>
      </c>
      <c r="C961" t="s">
        <v>754</v>
      </c>
      <c r="D961" t="s">
        <v>795</v>
      </c>
      <c r="E961">
        <v>18917</v>
      </c>
      <c r="G961" s="2">
        <v>0.18611111111111112</v>
      </c>
      <c r="H961" s="2">
        <v>0.22916666666666666</v>
      </c>
      <c r="J961">
        <v>1.0346086665768399</v>
      </c>
      <c r="K961" t="s">
        <v>799</v>
      </c>
      <c r="L961" t="str">
        <f t="shared" si="42"/>
        <v>33</v>
      </c>
      <c r="M961">
        <f t="shared" si="43"/>
        <v>0</v>
      </c>
      <c r="N961">
        <f t="shared" si="44"/>
        <v>0</v>
      </c>
    </row>
    <row r="962" spans="1:14">
      <c r="A962">
        <v>7432</v>
      </c>
      <c r="B962" t="s">
        <v>961</v>
      </c>
      <c r="C962" t="s">
        <v>754</v>
      </c>
      <c r="D962" t="s">
        <v>830</v>
      </c>
      <c r="E962">
        <v>49577</v>
      </c>
      <c r="G962" s="2">
        <v>0.50347222222222221</v>
      </c>
      <c r="H962" s="2">
        <v>0.8979166666666667</v>
      </c>
      <c r="J962">
        <v>9.4780497536944406</v>
      </c>
      <c r="K962" t="s">
        <v>847</v>
      </c>
      <c r="L962" t="str">
        <f t="shared" ref="L962:L1025" si="45">RIGHT(LEFT(K962,4),2)</f>
        <v>33</v>
      </c>
      <c r="M962">
        <f t="shared" ref="M962:M1025" si="46">IF(I962=0,0,I962-H962)+IF(F962=0,0,G962-F962)</f>
        <v>0</v>
      </c>
      <c r="N962">
        <f t="shared" ref="N962:N1025" si="47">(M962-INT(M962))*24</f>
        <v>0</v>
      </c>
    </row>
    <row r="963" spans="1:14">
      <c r="A963">
        <v>4210</v>
      </c>
      <c r="B963" t="s">
        <v>1133</v>
      </c>
      <c r="C963" t="s">
        <v>756</v>
      </c>
      <c r="E963">
        <v>4210</v>
      </c>
      <c r="G963" s="2">
        <v>0.59652777777777777</v>
      </c>
      <c r="H963" s="2">
        <v>0.60347222222222219</v>
      </c>
      <c r="J963">
        <v>0.167082465639315</v>
      </c>
      <c r="K963" t="s">
        <v>911</v>
      </c>
      <c r="L963" t="str">
        <f t="shared" si="45"/>
        <v>37</v>
      </c>
      <c r="M963">
        <f t="shared" si="46"/>
        <v>0</v>
      </c>
      <c r="N963">
        <f t="shared" si="47"/>
        <v>0</v>
      </c>
    </row>
    <row r="964" spans="1:14">
      <c r="A964">
        <v>4210</v>
      </c>
      <c r="B964" t="s">
        <v>1133</v>
      </c>
      <c r="C964" t="s">
        <v>756</v>
      </c>
      <c r="E964">
        <v>4210</v>
      </c>
      <c r="G964" s="2">
        <v>0.60347222222222219</v>
      </c>
      <c r="H964" s="2">
        <v>0.69513888888888886</v>
      </c>
      <c r="J964">
        <v>2.20548854643895</v>
      </c>
      <c r="K964" t="s">
        <v>759</v>
      </c>
      <c r="L964" t="str">
        <f t="shared" si="45"/>
        <v>33</v>
      </c>
      <c r="M964">
        <f t="shared" si="46"/>
        <v>0</v>
      </c>
      <c r="N964">
        <f t="shared" si="47"/>
        <v>0</v>
      </c>
    </row>
    <row r="965" spans="1:14">
      <c r="A965">
        <v>4210</v>
      </c>
      <c r="B965" t="s">
        <v>1133</v>
      </c>
      <c r="C965" t="s">
        <v>756</v>
      </c>
      <c r="E965">
        <v>4210</v>
      </c>
      <c r="G965" s="2">
        <v>0.69513888888888886</v>
      </c>
      <c r="H965" s="2">
        <v>0.83472222222222225</v>
      </c>
      <c r="J965">
        <v>3.3583575593502202</v>
      </c>
      <c r="K965" t="s">
        <v>760</v>
      </c>
      <c r="L965" t="str">
        <f t="shared" si="45"/>
        <v>33</v>
      </c>
      <c r="M965">
        <f t="shared" si="46"/>
        <v>0</v>
      </c>
      <c r="N965">
        <f t="shared" si="47"/>
        <v>0</v>
      </c>
    </row>
    <row r="966" spans="1:14">
      <c r="A966">
        <v>7669</v>
      </c>
      <c r="B966" t="s">
        <v>962</v>
      </c>
      <c r="C966" t="s">
        <v>755</v>
      </c>
      <c r="D966" t="s">
        <v>757</v>
      </c>
      <c r="E966">
        <v>199811</v>
      </c>
      <c r="G966" s="2">
        <v>0.21180555555555555</v>
      </c>
      <c r="H966" s="2">
        <v>0.38055555555555554</v>
      </c>
      <c r="J966">
        <v>3.8152723269764799</v>
      </c>
      <c r="K966" t="s">
        <v>759</v>
      </c>
      <c r="L966" t="str">
        <f t="shared" si="45"/>
        <v>33</v>
      </c>
      <c r="M966">
        <f t="shared" si="46"/>
        <v>0</v>
      </c>
      <c r="N966">
        <f t="shared" si="47"/>
        <v>0</v>
      </c>
    </row>
    <row r="967" spans="1:14">
      <c r="A967">
        <v>7669</v>
      </c>
      <c r="B967" t="s">
        <v>962</v>
      </c>
      <c r="C967" t="s">
        <v>755</v>
      </c>
      <c r="D967" t="s">
        <v>757</v>
      </c>
      <c r="E967">
        <v>199811</v>
      </c>
      <c r="G967" s="2">
        <v>0.38055555555555554</v>
      </c>
      <c r="H967" s="2">
        <v>0.41111111111111115</v>
      </c>
      <c r="J967">
        <v>0.69083120323853897</v>
      </c>
      <c r="K967" t="s">
        <v>842</v>
      </c>
      <c r="L967" t="str">
        <f t="shared" si="45"/>
        <v>33</v>
      </c>
      <c r="M967">
        <f t="shared" si="46"/>
        <v>0</v>
      </c>
      <c r="N967">
        <f t="shared" si="47"/>
        <v>0</v>
      </c>
    </row>
    <row r="968" spans="1:14">
      <c r="A968">
        <v>7669</v>
      </c>
      <c r="B968" t="s">
        <v>962</v>
      </c>
      <c r="C968" t="s">
        <v>755</v>
      </c>
      <c r="D968" t="s">
        <v>757</v>
      </c>
      <c r="E968">
        <v>199811</v>
      </c>
      <c r="G968" s="2">
        <v>0.41111111111111115</v>
      </c>
      <c r="H968" s="2">
        <v>0.4597222222222222</v>
      </c>
      <c r="J968">
        <v>1.0990496415158599</v>
      </c>
      <c r="K968" t="s">
        <v>843</v>
      </c>
      <c r="L968" t="str">
        <f t="shared" si="45"/>
        <v>33</v>
      </c>
      <c r="M968">
        <f t="shared" si="46"/>
        <v>0</v>
      </c>
      <c r="N968">
        <f t="shared" si="47"/>
        <v>0</v>
      </c>
    </row>
    <row r="969" spans="1:14">
      <c r="A969">
        <v>7669</v>
      </c>
      <c r="B969" t="s">
        <v>962</v>
      </c>
      <c r="C969" t="s">
        <v>755</v>
      </c>
      <c r="D969" t="s">
        <v>757</v>
      </c>
      <c r="E969">
        <v>199811</v>
      </c>
      <c r="G969" s="2">
        <v>0.4597222222222222</v>
      </c>
      <c r="H969" s="2">
        <v>0.5625</v>
      </c>
      <c r="J969">
        <v>2.32370495634781</v>
      </c>
      <c r="K969" t="s">
        <v>842</v>
      </c>
      <c r="L969" t="str">
        <f t="shared" si="45"/>
        <v>33</v>
      </c>
      <c r="M969">
        <f t="shared" si="46"/>
        <v>0</v>
      </c>
      <c r="N969">
        <f t="shared" si="47"/>
        <v>0</v>
      </c>
    </row>
    <row r="970" spans="1:14">
      <c r="A970">
        <v>7947</v>
      </c>
      <c r="B970" t="s">
        <v>1244</v>
      </c>
      <c r="C970" t="s">
        <v>755</v>
      </c>
      <c r="D970" t="s">
        <v>777</v>
      </c>
      <c r="E970">
        <v>838145</v>
      </c>
      <c r="G970" s="2">
        <v>0.21041666666666667</v>
      </c>
      <c r="H970" s="2">
        <v>0.54236111111111118</v>
      </c>
      <c r="J970">
        <v>7.4792045742433801</v>
      </c>
      <c r="K970" t="s">
        <v>778</v>
      </c>
      <c r="L970" t="str">
        <f t="shared" si="45"/>
        <v>37</v>
      </c>
      <c r="M970">
        <f t="shared" si="46"/>
        <v>0</v>
      </c>
      <c r="N970">
        <f t="shared" si="47"/>
        <v>0</v>
      </c>
    </row>
    <row r="971" spans="1:14">
      <c r="A971">
        <v>7608</v>
      </c>
      <c r="B971" t="s">
        <v>1245</v>
      </c>
      <c r="C971" t="s">
        <v>754</v>
      </c>
      <c r="D971" t="s">
        <v>841</v>
      </c>
      <c r="E971">
        <v>160988</v>
      </c>
      <c r="G971" s="2">
        <v>0.21249999999999999</v>
      </c>
      <c r="H971" s="2">
        <v>0.33958333333333335</v>
      </c>
      <c r="J971">
        <v>2.8942329992393501</v>
      </c>
      <c r="K971" t="s">
        <v>759</v>
      </c>
      <c r="L971" t="str">
        <f t="shared" si="45"/>
        <v>33</v>
      </c>
      <c r="M971">
        <f t="shared" si="46"/>
        <v>0</v>
      </c>
      <c r="N971">
        <f t="shared" si="47"/>
        <v>0</v>
      </c>
    </row>
    <row r="972" spans="1:14">
      <c r="A972">
        <v>7608</v>
      </c>
      <c r="B972" t="s">
        <v>1245</v>
      </c>
      <c r="C972" t="s">
        <v>754</v>
      </c>
      <c r="D972" t="s">
        <v>841</v>
      </c>
      <c r="E972">
        <v>160988</v>
      </c>
      <c r="G972" s="2">
        <v>0.33958333333333335</v>
      </c>
      <c r="H972" s="2">
        <v>0.38194444444444442</v>
      </c>
      <c r="J972">
        <v>0.96474433307978802</v>
      </c>
      <c r="K972" t="s">
        <v>760</v>
      </c>
      <c r="L972" t="str">
        <f t="shared" si="45"/>
        <v>33</v>
      </c>
      <c r="M972">
        <f t="shared" si="46"/>
        <v>0</v>
      </c>
      <c r="N972">
        <f t="shared" si="47"/>
        <v>0</v>
      </c>
    </row>
    <row r="973" spans="1:14">
      <c r="A973">
        <v>7608</v>
      </c>
      <c r="B973" t="s">
        <v>1245</v>
      </c>
      <c r="C973" t="s">
        <v>754</v>
      </c>
      <c r="D973" t="s">
        <v>841</v>
      </c>
      <c r="E973">
        <v>160988</v>
      </c>
      <c r="G973" s="2">
        <v>0.38194444444444442</v>
      </c>
      <c r="H973" s="2">
        <v>0.38263888888888892</v>
      </c>
      <c r="J973">
        <v>1.5815480870160398E-2</v>
      </c>
      <c r="K973" t="s">
        <v>798</v>
      </c>
      <c r="L973" t="str">
        <f t="shared" si="45"/>
        <v>33</v>
      </c>
      <c r="M973">
        <f t="shared" si="46"/>
        <v>0</v>
      </c>
      <c r="N973">
        <f t="shared" si="47"/>
        <v>0</v>
      </c>
    </row>
    <row r="974" spans="1:14">
      <c r="A974">
        <v>7608</v>
      </c>
      <c r="B974" t="s">
        <v>1245</v>
      </c>
      <c r="C974" t="s">
        <v>754</v>
      </c>
      <c r="D974" t="s">
        <v>841</v>
      </c>
      <c r="E974">
        <v>160988</v>
      </c>
      <c r="G974" s="2">
        <v>0.38263888888888892</v>
      </c>
      <c r="H974" s="2">
        <v>0.40625</v>
      </c>
      <c r="J974">
        <v>0.53772634958545396</v>
      </c>
      <c r="K974" t="s">
        <v>799</v>
      </c>
      <c r="L974" t="str">
        <f t="shared" si="45"/>
        <v>33</v>
      </c>
      <c r="M974">
        <f t="shared" si="46"/>
        <v>0</v>
      </c>
      <c r="N974">
        <f t="shared" si="47"/>
        <v>0</v>
      </c>
    </row>
    <row r="975" spans="1:14">
      <c r="A975">
        <v>7608</v>
      </c>
      <c r="B975" t="s">
        <v>1245</v>
      </c>
      <c r="C975" t="s">
        <v>754</v>
      </c>
      <c r="D975" t="s">
        <v>841</v>
      </c>
      <c r="E975">
        <v>160988</v>
      </c>
      <c r="G975" s="2">
        <v>0.40625</v>
      </c>
      <c r="H975" s="2">
        <v>0.41111111111111115</v>
      </c>
      <c r="J975">
        <v>0.110708366091123</v>
      </c>
      <c r="K975" t="s">
        <v>806</v>
      </c>
      <c r="L975" t="str">
        <f t="shared" si="45"/>
        <v>33</v>
      </c>
      <c r="M975">
        <f t="shared" si="46"/>
        <v>0</v>
      </c>
      <c r="N975">
        <f t="shared" si="47"/>
        <v>0</v>
      </c>
    </row>
    <row r="976" spans="1:14">
      <c r="A976">
        <v>7608</v>
      </c>
      <c r="B976" t="s">
        <v>1245</v>
      </c>
      <c r="C976" t="s">
        <v>754</v>
      </c>
      <c r="D976" t="s">
        <v>841</v>
      </c>
      <c r="E976">
        <v>160988</v>
      </c>
      <c r="G976" s="2">
        <v>0.41111111111111115</v>
      </c>
      <c r="H976" s="2">
        <v>0.44027777777777777</v>
      </c>
      <c r="J976">
        <v>0.664250196546737</v>
      </c>
      <c r="K976" t="s">
        <v>799</v>
      </c>
      <c r="L976" t="str">
        <f t="shared" si="45"/>
        <v>33</v>
      </c>
      <c r="M976">
        <f t="shared" si="46"/>
        <v>0</v>
      </c>
      <c r="N976">
        <f t="shared" si="47"/>
        <v>0</v>
      </c>
    </row>
    <row r="977" spans="1:14">
      <c r="A977">
        <v>7608</v>
      </c>
      <c r="B977" t="s">
        <v>1245</v>
      </c>
      <c r="C977" t="s">
        <v>754</v>
      </c>
      <c r="D977" t="s">
        <v>841</v>
      </c>
      <c r="E977">
        <v>160988</v>
      </c>
      <c r="G977" s="2">
        <v>0.44027777777777777</v>
      </c>
      <c r="H977" s="2">
        <v>0.44166666666666665</v>
      </c>
      <c r="J977">
        <v>3.1630961740320797E-2</v>
      </c>
      <c r="K977" t="s">
        <v>798</v>
      </c>
      <c r="L977" t="str">
        <f t="shared" si="45"/>
        <v>33</v>
      </c>
      <c r="M977">
        <f t="shared" si="46"/>
        <v>0</v>
      </c>
      <c r="N977">
        <f t="shared" si="47"/>
        <v>0</v>
      </c>
    </row>
    <row r="978" spans="1:14">
      <c r="A978">
        <v>7608</v>
      </c>
      <c r="B978" t="s">
        <v>1245</v>
      </c>
      <c r="C978" t="s">
        <v>754</v>
      </c>
      <c r="D978" t="s">
        <v>841</v>
      </c>
      <c r="E978">
        <v>160988</v>
      </c>
      <c r="G978" s="2">
        <v>0.44166666666666665</v>
      </c>
      <c r="H978" s="2">
        <v>0.4597222222222222</v>
      </c>
      <c r="J978">
        <v>0.41120250262417002</v>
      </c>
      <c r="K978" t="s">
        <v>814</v>
      </c>
      <c r="L978" t="str">
        <f t="shared" si="45"/>
        <v>33</v>
      </c>
      <c r="M978">
        <f t="shared" si="46"/>
        <v>0</v>
      </c>
      <c r="N978">
        <f t="shared" si="47"/>
        <v>0</v>
      </c>
    </row>
    <row r="979" spans="1:14">
      <c r="A979">
        <v>7608</v>
      </c>
      <c r="B979" t="s">
        <v>1245</v>
      </c>
      <c r="C979" t="s">
        <v>754</v>
      </c>
      <c r="D979" t="s">
        <v>841</v>
      </c>
      <c r="E979">
        <v>160988</v>
      </c>
      <c r="G979" s="2">
        <v>0.4597222222222222</v>
      </c>
      <c r="H979" s="2">
        <v>0.47638888888888892</v>
      </c>
      <c r="J979">
        <v>0.37957154088384998</v>
      </c>
      <c r="K979" t="s">
        <v>798</v>
      </c>
      <c r="L979" t="str">
        <f t="shared" si="45"/>
        <v>33</v>
      </c>
      <c r="M979">
        <f t="shared" si="46"/>
        <v>0</v>
      </c>
      <c r="N979">
        <f t="shared" si="47"/>
        <v>0</v>
      </c>
    </row>
    <row r="980" spans="1:14">
      <c r="A980">
        <v>7608</v>
      </c>
      <c r="B980" t="s">
        <v>1245</v>
      </c>
      <c r="C980" t="s">
        <v>754</v>
      </c>
      <c r="D980" t="s">
        <v>841</v>
      </c>
      <c r="E980">
        <v>160988</v>
      </c>
      <c r="G980" s="2">
        <v>0.47638888888888892</v>
      </c>
      <c r="H980" s="2">
        <v>0.4861111111111111</v>
      </c>
      <c r="J980">
        <v>0.221416732182245</v>
      </c>
      <c r="K980" t="s">
        <v>799</v>
      </c>
      <c r="L980" t="str">
        <f t="shared" si="45"/>
        <v>33</v>
      </c>
      <c r="M980">
        <f t="shared" si="46"/>
        <v>0</v>
      </c>
      <c r="N980">
        <f t="shared" si="47"/>
        <v>0</v>
      </c>
    </row>
    <row r="981" spans="1:14">
      <c r="A981">
        <v>7608</v>
      </c>
      <c r="B981" t="s">
        <v>1245</v>
      </c>
      <c r="C981" t="s">
        <v>754</v>
      </c>
      <c r="D981" t="s">
        <v>841</v>
      </c>
      <c r="E981">
        <v>160988</v>
      </c>
      <c r="G981" s="2">
        <v>0.4861111111111111</v>
      </c>
      <c r="H981" s="2">
        <v>0.48749999999999999</v>
      </c>
      <c r="J981">
        <v>3.1630961740320797E-2</v>
      </c>
      <c r="K981" t="s">
        <v>834</v>
      </c>
      <c r="L981" t="str">
        <f t="shared" si="45"/>
        <v>33</v>
      </c>
      <c r="M981">
        <f t="shared" si="46"/>
        <v>0</v>
      </c>
      <c r="N981">
        <f t="shared" si="47"/>
        <v>0</v>
      </c>
    </row>
    <row r="982" spans="1:14">
      <c r="A982">
        <v>7608</v>
      </c>
      <c r="B982" t="s">
        <v>1245</v>
      </c>
      <c r="C982" t="s">
        <v>754</v>
      </c>
      <c r="D982" t="s">
        <v>841</v>
      </c>
      <c r="E982">
        <v>160988</v>
      </c>
      <c r="G982" s="2">
        <v>0.48749999999999999</v>
      </c>
      <c r="H982" s="2">
        <v>0.4909722222222222</v>
      </c>
      <c r="J982">
        <v>7.9077404350802002E-2</v>
      </c>
      <c r="K982" t="s">
        <v>798</v>
      </c>
      <c r="L982" t="str">
        <f t="shared" si="45"/>
        <v>33</v>
      </c>
      <c r="M982">
        <f t="shared" si="46"/>
        <v>0</v>
      </c>
      <c r="N982">
        <f t="shared" si="47"/>
        <v>0</v>
      </c>
    </row>
    <row r="983" spans="1:14">
      <c r="A983">
        <v>7608</v>
      </c>
      <c r="B983" t="s">
        <v>1245</v>
      </c>
      <c r="C983" t="s">
        <v>754</v>
      </c>
      <c r="D983" t="s">
        <v>841</v>
      </c>
      <c r="E983">
        <v>160988</v>
      </c>
      <c r="G983" s="2">
        <v>0.4909722222222222</v>
      </c>
      <c r="H983" s="2">
        <v>0.49444444444444446</v>
      </c>
      <c r="J983">
        <v>7.9077404350802002E-2</v>
      </c>
      <c r="K983" t="s">
        <v>834</v>
      </c>
      <c r="L983" t="str">
        <f t="shared" si="45"/>
        <v>33</v>
      </c>
      <c r="M983">
        <f t="shared" si="46"/>
        <v>0</v>
      </c>
      <c r="N983">
        <f t="shared" si="47"/>
        <v>0</v>
      </c>
    </row>
    <row r="984" spans="1:14">
      <c r="A984">
        <v>7608</v>
      </c>
      <c r="B984" t="s">
        <v>1245</v>
      </c>
      <c r="C984" t="s">
        <v>754</v>
      </c>
      <c r="D984" t="s">
        <v>841</v>
      </c>
      <c r="E984">
        <v>160988</v>
      </c>
      <c r="G984" s="2">
        <v>0.49444444444444446</v>
      </c>
      <c r="H984" s="2">
        <v>0.61111111111111105</v>
      </c>
      <c r="J984">
        <v>2.6570007861869498</v>
      </c>
      <c r="K984" t="s">
        <v>799</v>
      </c>
      <c r="L984" t="str">
        <f t="shared" si="45"/>
        <v>33</v>
      </c>
      <c r="M984">
        <f t="shared" si="46"/>
        <v>0</v>
      </c>
      <c r="N984">
        <f t="shared" si="47"/>
        <v>0</v>
      </c>
    </row>
    <row r="985" spans="1:14">
      <c r="A985">
        <v>7608</v>
      </c>
      <c r="B985" t="s">
        <v>1245</v>
      </c>
      <c r="C985" t="s">
        <v>754</v>
      </c>
      <c r="D985" t="s">
        <v>841</v>
      </c>
      <c r="E985">
        <v>160988</v>
      </c>
      <c r="G985" s="2">
        <v>0.61111111111111105</v>
      </c>
      <c r="H985" s="2">
        <v>0.61250000000000004</v>
      </c>
      <c r="J985">
        <v>3.1630961740320797E-2</v>
      </c>
      <c r="K985" t="s">
        <v>800</v>
      </c>
      <c r="L985" t="str">
        <f t="shared" si="45"/>
        <v>33</v>
      </c>
      <c r="M985">
        <f t="shared" si="46"/>
        <v>0</v>
      </c>
      <c r="N985">
        <f t="shared" si="47"/>
        <v>0</v>
      </c>
    </row>
    <row r="986" spans="1:14">
      <c r="A986">
        <v>7608</v>
      </c>
      <c r="B986" t="s">
        <v>1245</v>
      </c>
      <c r="C986" t="s">
        <v>754</v>
      </c>
      <c r="D986" t="s">
        <v>841</v>
      </c>
      <c r="E986">
        <v>160988</v>
      </c>
      <c r="G986" s="2">
        <v>0.61250000000000004</v>
      </c>
      <c r="H986" s="2">
        <v>0.61458333333333337</v>
      </c>
      <c r="J986">
        <v>4.7446442610481199E-2</v>
      </c>
      <c r="K986" t="s">
        <v>798</v>
      </c>
      <c r="L986" t="str">
        <f t="shared" si="45"/>
        <v>33</v>
      </c>
      <c r="M986">
        <f t="shared" si="46"/>
        <v>0</v>
      </c>
      <c r="N986">
        <f t="shared" si="47"/>
        <v>0</v>
      </c>
    </row>
    <row r="987" spans="1:14">
      <c r="A987">
        <v>7608</v>
      </c>
      <c r="B987" t="s">
        <v>1245</v>
      </c>
      <c r="C987" t="s">
        <v>754</v>
      </c>
      <c r="D987" t="s">
        <v>841</v>
      </c>
      <c r="E987">
        <v>160988</v>
      </c>
      <c r="G987" s="2">
        <v>0.61458333333333337</v>
      </c>
      <c r="H987" s="2">
        <v>0.61597222222222225</v>
      </c>
      <c r="J987">
        <v>3.1630961740320797E-2</v>
      </c>
      <c r="K987" t="s">
        <v>800</v>
      </c>
      <c r="L987" t="str">
        <f t="shared" si="45"/>
        <v>33</v>
      </c>
      <c r="M987">
        <f t="shared" si="46"/>
        <v>0</v>
      </c>
      <c r="N987">
        <f t="shared" si="47"/>
        <v>0</v>
      </c>
    </row>
    <row r="988" spans="1:14">
      <c r="A988">
        <v>7608</v>
      </c>
      <c r="B988" t="s">
        <v>1245</v>
      </c>
      <c r="C988" t="s">
        <v>754</v>
      </c>
      <c r="D988" t="s">
        <v>841</v>
      </c>
      <c r="E988">
        <v>160988</v>
      </c>
      <c r="G988" s="2">
        <v>0.61597222222222225</v>
      </c>
      <c r="H988" s="2">
        <v>0.625</v>
      </c>
      <c r="J988">
        <v>0.20560125131208501</v>
      </c>
      <c r="K988" t="s">
        <v>798</v>
      </c>
      <c r="L988" t="str">
        <f t="shared" si="45"/>
        <v>33</v>
      </c>
      <c r="M988">
        <f t="shared" si="46"/>
        <v>0</v>
      </c>
      <c r="N988">
        <f t="shared" si="47"/>
        <v>0</v>
      </c>
    </row>
    <row r="989" spans="1:14">
      <c r="A989">
        <v>4036</v>
      </c>
      <c r="B989" t="s">
        <v>1134</v>
      </c>
      <c r="C989" t="s">
        <v>756</v>
      </c>
      <c r="E989">
        <v>905214</v>
      </c>
      <c r="G989" s="2">
        <v>0.4861111111111111</v>
      </c>
      <c r="H989" s="2">
        <v>0.48958333333333331</v>
      </c>
      <c r="J989">
        <v>7.7971489960619797E-2</v>
      </c>
      <c r="K989" t="s">
        <v>877</v>
      </c>
      <c r="L989" t="str">
        <f t="shared" si="45"/>
        <v>46</v>
      </c>
      <c r="M989">
        <f t="shared" si="46"/>
        <v>0</v>
      </c>
      <c r="N989">
        <f t="shared" si="47"/>
        <v>0</v>
      </c>
    </row>
    <row r="990" spans="1:14">
      <c r="A990">
        <v>4036</v>
      </c>
      <c r="B990" t="s">
        <v>1134</v>
      </c>
      <c r="C990" t="s">
        <v>756</v>
      </c>
      <c r="E990">
        <v>905214</v>
      </c>
      <c r="G990" s="2">
        <v>0.48958333333333331</v>
      </c>
      <c r="H990" s="2">
        <v>0.51111111111111118</v>
      </c>
      <c r="J990">
        <v>0.483423237755843</v>
      </c>
      <c r="K990" t="s">
        <v>817</v>
      </c>
      <c r="L990" t="str">
        <f t="shared" si="45"/>
        <v>46</v>
      </c>
      <c r="M990">
        <f t="shared" si="46"/>
        <v>0</v>
      </c>
      <c r="N990">
        <f t="shared" si="47"/>
        <v>0</v>
      </c>
    </row>
    <row r="991" spans="1:14">
      <c r="A991">
        <v>4036</v>
      </c>
      <c r="B991" t="s">
        <v>1134</v>
      </c>
      <c r="C991" t="s">
        <v>756</v>
      </c>
      <c r="E991">
        <v>905214</v>
      </c>
      <c r="G991" s="2">
        <v>0.51111111111111118</v>
      </c>
      <c r="H991" s="2">
        <v>0.51527777777777783</v>
      </c>
      <c r="J991">
        <v>9.3565787952743895E-2</v>
      </c>
      <c r="K991" t="s">
        <v>877</v>
      </c>
      <c r="L991" t="str">
        <f t="shared" si="45"/>
        <v>46</v>
      </c>
      <c r="M991">
        <f t="shared" si="46"/>
        <v>0</v>
      </c>
      <c r="N991">
        <f t="shared" si="47"/>
        <v>0</v>
      </c>
    </row>
    <row r="992" spans="1:14">
      <c r="A992">
        <v>4036</v>
      </c>
      <c r="B992" t="s">
        <v>1134</v>
      </c>
      <c r="C992" t="s">
        <v>756</v>
      </c>
      <c r="E992">
        <v>905214</v>
      </c>
      <c r="G992" s="2">
        <v>0.51527777777777783</v>
      </c>
      <c r="H992" s="2">
        <v>0.52777777777777779</v>
      </c>
      <c r="J992">
        <v>0.28069736385823102</v>
      </c>
      <c r="K992" t="s">
        <v>817</v>
      </c>
      <c r="L992" t="str">
        <f t="shared" si="45"/>
        <v>46</v>
      </c>
      <c r="M992">
        <f t="shared" si="46"/>
        <v>0</v>
      </c>
      <c r="N992">
        <f t="shared" si="47"/>
        <v>0</v>
      </c>
    </row>
    <row r="993" spans="1:14">
      <c r="A993">
        <v>4036</v>
      </c>
      <c r="B993" t="s">
        <v>1134</v>
      </c>
      <c r="C993" t="s">
        <v>756</v>
      </c>
      <c r="E993">
        <v>905214</v>
      </c>
      <c r="G993" s="2">
        <v>0.52777777777777779</v>
      </c>
      <c r="H993" s="2">
        <v>0.53125</v>
      </c>
      <c r="J993">
        <v>7.7971489960619797E-2</v>
      </c>
      <c r="K993" t="s">
        <v>877</v>
      </c>
      <c r="L993" t="str">
        <f t="shared" si="45"/>
        <v>46</v>
      </c>
      <c r="M993">
        <f t="shared" si="46"/>
        <v>0</v>
      </c>
      <c r="N993">
        <f t="shared" si="47"/>
        <v>0</v>
      </c>
    </row>
    <row r="994" spans="1:14">
      <c r="A994">
        <v>4036</v>
      </c>
      <c r="B994" t="s">
        <v>1134</v>
      </c>
      <c r="C994" t="s">
        <v>756</v>
      </c>
      <c r="E994">
        <v>905214</v>
      </c>
      <c r="G994" s="2">
        <v>0.53125</v>
      </c>
      <c r="H994" s="2">
        <v>0.59583333333333333</v>
      </c>
      <c r="J994">
        <v>1.45026971326753</v>
      </c>
      <c r="K994" t="s">
        <v>817</v>
      </c>
      <c r="L994" t="str">
        <f t="shared" si="45"/>
        <v>46</v>
      </c>
      <c r="M994">
        <f t="shared" si="46"/>
        <v>0</v>
      </c>
      <c r="N994">
        <f t="shared" si="47"/>
        <v>0</v>
      </c>
    </row>
    <row r="995" spans="1:14">
      <c r="A995">
        <v>4036</v>
      </c>
      <c r="B995" t="s">
        <v>1134</v>
      </c>
      <c r="C995" t="s">
        <v>756</v>
      </c>
      <c r="E995">
        <v>905214</v>
      </c>
      <c r="G995" s="2">
        <v>0.59583333333333333</v>
      </c>
      <c r="H995" s="2">
        <v>0.75624999999999998</v>
      </c>
      <c r="J995">
        <v>3.60228283618064</v>
      </c>
      <c r="K995" t="s">
        <v>815</v>
      </c>
      <c r="L995" t="str">
        <f t="shared" si="45"/>
        <v>46</v>
      </c>
      <c r="M995">
        <f t="shared" si="46"/>
        <v>0</v>
      </c>
      <c r="N995">
        <f t="shared" si="47"/>
        <v>0</v>
      </c>
    </row>
    <row r="996" spans="1:14">
      <c r="A996">
        <v>4036</v>
      </c>
      <c r="B996" t="s">
        <v>1134</v>
      </c>
      <c r="C996" t="s">
        <v>756</v>
      </c>
      <c r="E996">
        <v>905214</v>
      </c>
      <c r="G996" s="2">
        <v>0.75624999999999998</v>
      </c>
      <c r="H996" s="2">
        <v>0.8125</v>
      </c>
      <c r="J996">
        <v>1.2631381373620401</v>
      </c>
      <c r="K996" t="s">
        <v>778</v>
      </c>
      <c r="L996" t="str">
        <f t="shared" si="45"/>
        <v>37</v>
      </c>
      <c r="M996">
        <f t="shared" si="46"/>
        <v>0</v>
      </c>
      <c r="N996">
        <f t="shared" si="47"/>
        <v>0</v>
      </c>
    </row>
    <row r="997" spans="1:14">
      <c r="A997">
        <v>7714</v>
      </c>
      <c r="B997" t="s">
        <v>963</v>
      </c>
      <c r="C997" t="s">
        <v>754</v>
      </c>
      <c r="D997" t="s">
        <v>841</v>
      </c>
      <c r="E997">
        <v>351019</v>
      </c>
      <c r="G997" s="2">
        <v>0.20624999999999999</v>
      </c>
      <c r="H997" s="2">
        <v>0.21041666666666667</v>
      </c>
      <c r="J997">
        <v>9.4527363184079602E-2</v>
      </c>
      <c r="K997" t="s">
        <v>800</v>
      </c>
      <c r="L997" t="str">
        <f t="shared" si="45"/>
        <v>33</v>
      </c>
      <c r="M997">
        <f t="shared" si="46"/>
        <v>0</v>
      </c>
      <c r="N997">
        <f t="shared" si="47"/>
        <v>0</v>
      </c>
    </row>
    <row r="998" spans="1:14">
      <c r="A998">
        <v>7714</v>
      </c>
      <c r="B998" t="s">
        <v>963</v>
      </c>
      <c r="C998" t="s">
        <v>754</v>
      </c>
      <c r="D998" t="s">
        <v>841</v>
      </c>
      <c r="E998">
        <v>351019</v>
      </c>
      <c r="G998" s="2">
        <v>0.21041666666666667</v>
      </c>
      <c r="H998" s="2">
        <v>0.21180555555555555</v>
      </c>
      <c r="J998">
        <v>3.15091210613598E-2</v>
      </c>
      <c r="K998" t="s">
        <v>798</v>
      </c>
      <c r="L998" t="str">
        <f t="shared" si="45"/>
        <v>33</v>
      </c>
      <c r="M998">
        <f t="shared" si="46"/>
        <v>0</v>
      </c>
      <c r="N998">
        <f t="shared" si="47"/>
        <v>0</v>
      </c>
    </row>
    <row r="999" spans="1:14">
      <c r="A999">
        <v>7714</v>
      </c>
      <c r="B999" t="s">
        <v>963</v>
      </c>
      <c r="C999" t="s">
        <v>754</v>
      </c>
      <c r="D999" t="s">
        <v>841</v>
      </c>
      <c r="E999">
        <v>351019</v>
      </c>
      <c r="G999" s="2">
        <v>0.21180555555555555</v>
      </c>
      <c r="H999" s="2">
        <v>0.21319444444444444</v>
      </c>
      <c r="J999">
        <v>3.15091210613598E-2</v>
      </c>
      <c r="K999" t="s">
        <v>813</v>
      </c>
      <c r="L999" t="str">
        <f t="shared" si="45"/>
        <v>33</v>
      </c>
      <c r="M999">
        <f t="shared" si="46"/>
        <v>0</v>
      </c>
      <c r="N999">
        <f t="shared" si="47"/>
        <v>0</v>
      </c>
    </row>
    <row r="1000" spans="1:14">
      <c r="A1000">
        <v>7714</v>
      </c>
      <c r="B1000" t="s">
        <v>963</v>
      </c>
      <c r="C1000" t="s">
        <v>754</v>
      </c>
      <c r="D1000" t="s">
        <v>841</v>
      </c>
      <c r="E1000">
        <v>351019</v>
      </c>
      <c r="G1000" s="2">
        <v>0.21319444444444444</v>
      </c>
      <c r="H1000" s="2">
        <v>0.21527777777777779</v>
      </c>
      <c r="J1000">
        <v>4.7263681592039801E-2</v>
      </c>
      <c r="K1000" t="s">
        <v>798</v>
      </c>
      <c r="L1000" t="str">
        <f t="shared" si="45"/>
        <v>33</v>
      </c>
      <c r="M1000">
        <f t="shared" si="46"/>
        <v>0</v>
      </c>
      <c r="N1000">
        <f t="shared" si="47"/>
        <v>0</v>
      </c>
    </row>
    <row r="1001" spans="1:14">
      <c r="A1001">
        <v>7714</v>
      </c>
      <c r="B1001" t="s">
        <v>963</v>
      </c>
      <c r="C1001" t="s">
        <v>754</v>
      </c>
      <c r="D1001" t="s">
        <v>841</v>
      </c>
      <c r="E1001">
        <v>351019</v>
      </c>
      <c r="G1001" s="2">
        <v>0.21527777777777779</v>
      </c>
      <c r="H1001" s="2">
        <v>0.22222222222222221</v>
      </c>
      <c r="J1001">
        <v>0.15754560530679901</v>
      </c>
      <c r="K1001" t="s">
        <v>813</v>
      </c>
      <c r="L1001" t="str">
        <f t="shared" si="45"/>
        <v>33</v>
      </c>
      <c r="M1001">
        <f t="shared" si="46"/>
        <v>0</v>
      </c>
      <c r="N1001">
        <f t="shared" si="47"/>
        <v>0</v>
      </c>
    </row>
    <row r="1002" spans="1:14">
      <c r="A1002">
        <v>7714</v>
      </c>
      <c r="B1002" t="s">
        <v>963</v>
      </c>
      <c r="C1002" t="s">
        <v>754</v>
      </c>
      <c r="D1002" t="s">
        <v>841</v>
      </c>
      <c r="E1002">
        <v>351019</v>
      </c>
      <c r="G1002" s="2">
        <v>0.22222222222222221</v>
      </c>
      <c r="H1002" s="2">
        <v>0.29652777777777778</v>
      </c>
      <c r="J1002">
        <v>1.6857379767827401</v>
      </c>
      <c r="K1002" t="s">
        <v>799</v>
      </c>
      <c r="L1002" t="str">
        <f t="shared" si="45"/>
        <v>33</v>
      </c>
      <c r="M1002">
        <f t="shared" si="46"/>
        <v>0</v>
      </c>
      <c r="N1002">
        <f t="shared" si="47"/>
        <v>0</v>
      </c>
    </row>
    <row r="1003" spans="1:14">
      <c r="A1003">
        <v>7714</v>
      </c>
      <c r="B1003" t="s">
        <v>963</v>
      </c>
      <c r="C1003" t="s">
        <v>754</v>
      </c>
      <c r="D1003" t="s">
        <v>841</v>
      </c>
      <c r="E1003">
        <v>351019</v>
      </c>
      <c r="G1003" s="2">
        <v>0.29652777777777778</v>
      </c>
      <c r="H1003" s="2">
        <v>0.32291666666666669</v>
      </c>
      <c r="J1003">
        <v>0.59867330016583697</v>
      </c>
      <c r="K1003" t="s">
        <v>798</v>
      </c>
      <c r="L1003" t="str">
        <f t="shared" si="45"/>
        <v>33</v>
      </c>
      <c r="M1003">
        <f t="shared" si="46"/>
        <v>0</v>
      </c>
      <c r="N1003">
        <f t="shared" si="47"/>
        <v>0</v>
      </c>
    </row>
    <row r="1004" spans="1:14">
      <c r="A1004">
        <v>7714</v>
      </c>
      <c r="B1004" t="s">
        <v>963</v>
      </c>
      <c r="C1004" t="s">
        <v>754</v>
      </c>
      <c r="D1004" t="s">
        <v>841</v>
      </c>
      <c r="E1004">
        <v>351019</v>
      </c>
      <c r="G1004" s="2">
        <v>0.32291666666666669</v>
      </c>
      <c r="H1004" s="2">
        <v>0.32500000000000001</v>
      </c>
      <c r="J1004">
        <v>4.7263681592039801E-2</v>
      </c>
      <c r="K1004" t="s">
        <v>814</v>
      </c>
      <c r="L1004" t="str">
        <f t="shared" si="45"/>
        <v>33</v>
      </c>
      <c r="M1004">
        <f t="shared" si="46"/>
        <v>0</v>
      </c>
      <c r="N1004">
        <f t="shared" si="47"/>
        <v>0</v>
      </c>
    </row>
    <row r="1005" spans="1:14">
      <c r="A1005">
        <v>7714</v>
      </c>
      <c r="B1005" t="s">
        <v>963</v>
      </c>
      <c r="C1005" t="s">
        <v>754</v>
      </c>
      <c r="D1005" t="s">
        <v>841</v>
      </c>
      <c r="E1005">
        <v>351019</v>
      </c>
      <c r="G1005" s="2">
        <v>0.32500000000000001</v>
      </c>
      <c r="H1005" s="2">
        <v>0.33680555555555558</v>
      </c>
      <c r="J1005">
        <v>0.26782752902155799</v>
      </c>
      <c r="K1005" t="s">
        <v>798</v>
      </c>
      <c r="L1005" t="str">
        <f t="shared" si="45"/>
        <v>33</v>
      </c>
      <c r="M1005">
        <f t="shared" si="46"/>
        <v>0</v>
      </c>
      <c r="N1005">
        <f t="shared" si="47"/>
        <v>0</v>
      </c>
    </row>
    <row r="1006" spans="1:14">
      <c r="A1006">
        <v>7714</v>
      </c>
      <c r="B1006" t="s">
        <v>963</v>
      </c>
      <c r="C1006" t="s">
        <v>754</v>
      </c>
      <c r="D1006" t="s">
        <v>841</v>
      </c>
      <c r="E1006">
        <v>351019</v>
      </c>
      <c r="G1006" s="2">
        <v>0.33680555555555558</v>
      </c>
      <c r="H1006" s="2">
        <v>0.34791666666666665</v>
      </c>
      <c r="J1006">
        <v>0.25207296849087901</v>
      </c>
      <c r="K1006" t="s">
        <v>814</v>
      </c>
      <c r="L1006" t="str">
        <f t="shared" si="45"/>
        <v>33</v>
      </c>
      <c r="M1006">
        <f t="shared" si="46"/>
        <v>0</v>
      </c>
      <c r="N1006">
        <f t="shared" si="47"/>
        <v>0</v>
      </c>
    </row>
    <row r="1007" spans="1:14">
      <c r="A1007">
        <v>7714</v>
      </c>
      <c r="B1007" t="s">
        <v>963</v>
      </c>
      <c r="C1007" t="s">
        <v>754</v>
      </c>
      <c r="D1007" t="s">
        <v>841</v>
      </c>
      <c r="E1007">
        <v>351019</v>
      </c>
      <c r="G1007" s="2">
        <v>0.34791666666666665</v>
      </c>
      <c r="H1007" s="2">
        <v>0.36875000000000002</v>
      </c>
      <c r="J1007">
        <v>0.47263681592039802</v>
      </c>
      <c r="K1007" t="s">
        <v>798</v>
      </c>
      <c r="L1007" t="str">
        <f t="shared" si="45"/>
        <v>33</v>
      </c>
      <c r="M1007">
        <f t="shared" si="46"/>
        <v>0</v>
      </c>
      <c r="N1007">
        <f t="shared" si="47"/>
        <v>0</v>
      </c>
    </row>
    <row r="1008" spans="1:14">
      <c r="A1008">
        <v>7714</v>
      </c>
      <c r="B1008" t="s">
        <v>963</v>
      </c>
      <c r="C1008" t="s">
        <v>754</v>
      </c>
      <c r="D1008" t="s">
        <v>841</v>
      </c>
      <c r="E1008">
        <v>351019</v>
      </c>
      <c r="G1008" s="2">
        <v>0.36875000000000002</v>
      </c>
      <c r="H1008" s="2">
        <v>0.39444444444444443</v>
      </c>
      <c r="J1008">
        <v>0.58291873963515695</v>
      </c>
      <c r="K1008" t="s">
        <v>799</v>
      </c>
      <c r="L1008" t="str">
        <f t="shared" si="45"/>
        <v>33</v>
      </c>
      <c r="M1008">
        <f t="shared" si="46"/>
        <v>0</v>
      </c>
      <c r="N1008">
        <f t="shared" si="47"/>
        <v>0</v>
      </c>
    </row>
    <row r="1009" spans="1:14">
      <c r="A1009">
        <v>7714</v>
      </c>
      <c r="B1009" t="s">
        <v>963</v>
      </c>
      <c r="C1009" t="s">
        <v>754</v>
      </c>
      <c r="D1009" t="s">
        <v>841</v>
      </c>
      <c r="E1009">
        <v>351019</v>
      </c>
      <c r="G1009" s="2">
        <v>0.39444444444444443</v>
      </c>
      <c r="H1009" s="2">
        <v>0.40069444444444446</v>
      </c>
      <c r="J1009">
        <v>0.14179104477611901</v>
      </c>
      <c r="K1009" t="s">
        <v>814</v>
      </c>
      <c r="L1009" t="str">
        <f t="shared" si="45"/>
        <v>33</v>
      </c>
      <c r="M1009">
        <f t="shared" si="46"/>
        <v>0</v>
      </c>
      <c r="N1009">
        <f t="shared" si="47"/>
        <v>0</v>
      </c>
    </row>
    <row r="1010" spans="1:14">
      <c r="A1010">
        <v>7714</v>
      </c>
      <c r="B1010" t="s">
        <v>963</v>
      </c>
      <c r="C1010" t="s">
        <v>754</v>
      </c>
      <c r="D1010" t="s">
        <v>841</v>
      </c>
      <c r="E1010">
        <v>351019</v>
      </c>
      <c r="G1010" s="2">
        <v>0.40069444444444446</v>
      </c>
      <c r="H1010" s="2">
        <v>0.40486111111111112</v>
      </c>
      <c r="J1010">
        <v>9.4527363184079602E-2</v>
      </c>
      <c r="K1010" t="s">
        <v>798</v>
      </c>
      <c r="L1010" t="str">
        <f t="shared" si="45"/>
        <v>33</v>
      </c>
      <c r="M1010">
        <f t="shared" si="46"/>
        <v>0</v>
      </c>
      <c r="N1010">
        <f t="shared" si="47"/>
        <v>0</v>
      </c>
    </row>
    <row r="1011" spans="1:14">
      <c r="A1011">
        <v>7714</v>
      </c>
      <c r="B1011" t="s">
        <v>963</v>
      </c>
      <c r="C1011" t="s">
        <v>754</v>
      </c>
      <c r="D1011" t="s">
        <v>841</v>
      </c>
      <c r="E1011">
        <v>351019</v>
      </c>
      <c r="G1011" s="2">
        <v>0.40486111111111112</v>
      </c>
      <c r="H1011" s="2">
        <v>0.40625</v>
      </c>
      <c r="J1011">
        <v>3.15091210613598E-2</v>
      </c>
      <c r="K1011" t="s">
        <v>814</v>
      </c>
      <c r="L1011" t="str">
        <f t="shared" si="45"/>
        <v>33</v>
      </c>
      <c r="M1011">
        <f t="shared" si="46"/>
        <v>0</v>
      </c>
      <c r="N1011">
        <f t="shared" si="47"/>
        <v>0</v>
      </c>
    </row>
    <row r="1012" spans="1:14">
      <c r="A1012">
        <v>7714</v>
      </c>
      <c r="B1012" t="s">
        <v>963</v>
      </c>
      <c r="C1012" t="s">
        <v>754</v>
      </c>
      <c r="D1012" t="s">
        <v>841</v>
      </c>
      <c r="E1012">
        <v>351019</v>
      </c>
      <c r="G1012" s="2">
        <v>0.40625</v>
      </c>
      <c r="H1012" s="2">
        <v>0.41041666666666665</v>
      </c>
      <c r="J1012">
        <v>9.4527363184079602E-2</v>
      </c>
      <c r="K1012" t="s">
        <v>798</v>
      </c>
      <c r="L1012" t="str">
        <f t="shared" si="45"/>
        <v>33</v>
      </c>
      <c r="M1012">
        <f t="shared" si="46"/>
        <v>0</v>
      </c>
      <c r="N1012">
        <f t="shared" si="47"/>
        <v>0</v>
      </c>
    </row>
    <row r="1013" spans="1:14">
      <c r="A1013">
        <v>7714</v>
      </c>
      <c r="B1013" t="s">
        <v>963</v>
      </c>
      <c r="C1013" t="s">
        <v>754</v>
      </c>
      <c r="D1013" t="s">
        <v>841</v>
      </c>
      <c r="E1013">
        <v>351019</v>
      </c>
      <c r="G1013" s="2">
        <v>0.41041666666666665</v>
      </c>
      <c r="H1013" s="2">
        <v>0.42430555555555555</v>
      </c>
      <c r="J1013">
        <v>0.31509121061359802</v>
      </c>
      <c r="K1013" t="s">
        <v>814</v>
      </c>
      <c r="L1013" t="str">
        <f t="shared" si="45"/>
        <v>33</v>
      </c>
      <c r="M1013">
        <f t="shared" si="46"/>
        <v>0</v>
      </c>
      <c r="N1013">
        <f t="shared" si="47"/>
        <v>0</v>
      </c>
    </row>
    <row r="1014" spans="1:14">
      <c r="A1014">
        <v>7714</v>
      </c>
      <c r="B1014" t="s">
        <v>963</v>
      </c>
      <c r="C1014" t="s">
        <v>754</v>
      </c>
      <c r="D1014" t="s">
        <v>841</v>
      </c>
      <c r="E1014">
        <v>351019</v>
      </c>
      <c r="G1014" s="2">
        <v>0.42430555555555555</v>
      </c>
      <c r="H1014" s="2">
        <v>0.42499999999999999</v>
      </c>
      <c r="J1014">
        <v>1.57545605306799E-2</v>
      </c>
      <c r="K1014" t="s">
        <v>800</v>
      </c>
      <c r="L1014" t="str">
        <f t="shared" si="45"/>
        <v>33</v>
      </c>
      <c r="M1014">
        <f t="shared" si="46"/>
        <v>0</v>
      </c>
      <c r="N1014">
        <f t="shared" si="47"/>
        <v>0</v>
      </c>
    </row>
    <row r="1015" spans="1:14">
      <c r="A1015">
        <v>7714</v>
      </c>
      <c r="B1015" t="s">
        <v>963</v>
      </c>
      <c r="C1015" t="s">
        <v>754</v>
      </c>
      <c r="D1015" t="s">
        <v>841</v>
      </c>
      <c r="E1015">
        <v>351019</v>
      </c>
      <c r="G1015" s="2">
        <v>0.42499999999999999</v>
      </c>
      <c r="H1015" s="2">
        <v>0.4291666666666667</v>
      </c>
      <c r="J1015">
        <v>9.4527363184079602E-2</v>
      </c>
      <c r="K1015" t="s">
        <v>798</v>
      </c>
      <c r="L1015" t="str">
        <f t="shared" si="45"/>
        <v>33</v>
      </c>
      <c r="M1015">
        <f t="shared" si="46"/>
        <v>0</v>
      </c>
      <c r="N1015">
        <f t="shared" si="47"/>
        <v>0</v>
      </c>
    </row>
    <row r="1016" spans="1:14">
      <c r="A1016">
        <v>7714</v>
      </c>
      <c r="B1016" t="s">
        <v>963</v>
      </c>
      <c r="C1016" t="s">
        <v>754</v>
      </c>
      <c r="D1016" t="s">
        <v>841</v>
      </c>
      <c r="E1016">
        <v>351019</v>
      </c>
      <c r="G1016" s="2">
        <v>0.4291666666666667</v>
      </c>
      <c r="H1016" s="2">
        <v>0.52361111111111114</v>
      </c>
      <c r="J1016">
        <v>2.1426202321724701</v>
      </c>
      <c r="K1016" t="s">
        <v>833</v>
      </c>
      <c r="L1016" t="str">
        <f t="shared" si="45"/>
        <v>33</v>
      </c>
      <c r="M1016">
        <f t="shared" si="46"/>
        <v>0</v>
      </c>
      <c r="N1016">
        <f t="shared" si="47"/>
        <v>0</v>
      </c>
    </row>
    <row r="1017" spans="1:14">
      <c r="A1017">
        <v>7714</v>
      </c>
      <c r="B1017" t="s">
        <v>963</v>
      </c>
      <c r="C1017" t="s">
        <v>754</v>
      </c>
      <c r="D1017" t="s">
        <v>841</v>
      </c>
      <c r="E1017">
        <v>351019</v>
      </c>
      <c r="G1017" s="2">
        <v>0.52361111111111114</v>
      </c>
      <c r="H1017" s="2">
        <v>0.52500000000000002</v>
      </c>
      <c r="J1017">
        <v>3.15091210613598E-2</v>
      </c>
      <c r="K1017" t="s">
        <v>798</v>
      </c>
      <c r="L1017" t="str">
        <f t="shared" si="45"/>
        <v>33</v>
      </c>
      <c r="M1017">
        <f t="shared" si="46"/>
        <v>0</v>
      </c>
      <c r="N1017">
        <f t="shared" si="47"/>
        <v>0</v>
      </c>
    </row>
    <row r="1018" spans="1:14">
      <c r="A1018">
        <v>7714</v>
      </c>
      <c r="B1018" t="s">
        <v>963</v>
      </c>
      <c r="C1018" t="s">
        <v>754</v>
      </c>
      <c r="D1018" t="s">
        <v>841</v>
      </c>
      <c r="E1018">
        <v>351019</v>
      </c>
      <c r="G1018" s="2">
        <v>0.52500000000000002</v>
      </c>
      <c r="H1018" s="2">
        <v>0.57013888888888886</v>
      </c>
      <c r="J1018">
        <v>1.02404643449419</v>
      </c>
      <c r="K1018" t="s">
        <v>799</v>
      </c>
      <c r="L1018" t="str">
        <f t="shared" si="45"/>
        <v>33</v>
      </c>
      <c r="M1018">
        <f t="shared" si="46"/>
        <v>0</v>
      </c>
      <c r="N1018">
        <f t="shared" si="47"/>
        <v>0</v>
      </c>
    </row>
    <row r="1019" spans="1:14">
      <c r="A1019">
        <v>7714</v>
      </c>
      <c r="B1019" t="s">
        <v>963</v>
      </c>
      <c r="C1019" t="s">
        <v>754</v>
      </c>
      <c r="D1019" t="s">
        <v>841</v>
      </c>
      <c r="E1019">
        <v>351019</v>
      </c>
      <c r="G1019" s="2">
        <v>0.57013888888888886</v>
      </c>
      <c r="H1019" s="2">
        <v>0.625</v>
      </c>
      <c r="J1019">
        <v>1.2446102819237099</v>
      </c>
      <c r="K1019" t="s">
        <v>760</v>
      </c>
      <c r="L1019" t="str">
        <f t="shared" si="45"/>
        <v>33</v>
      </c>
      <c r="M1019">
        <f t="shared" si="46"/>
        <v>0</v>
      </c>
      <c r="N1019">
        <f t="shared" si="47"/>
        <v>0</v>
      </c>
    </row>
    <row r="1020" spans="1:14">
      <c r="A1020">
        <v>7906</v>
      </c>
      <c r="B1020" t="s">
        <v>1246</v>
      </c>
      <c r="C1020" t="s">
        <v>756</v>
      </c>
      <c r="D1020" t="s">
        <v>795</v>
      </c>
      <c r="E1020">
        <v>538294</v>
      </c>
      <c r="G1020" s="2">
        <v>0.83958333333333324</v>
      </c>
      <c r="H1020" s="2">
        <v>2.7777777777777779E-3</v>
      </c>
      <c r="J1020">
        <v>3.6651886720424698</v>
      </c>
      <c r="K1020" t="s">
        <v>796</v>
      </c>
      <c r="L1020" t="str">
        <f t="shared" si="45"/>
        <v>37</v>
      </c>
      <c r="M1020">
        <f t="shared" si="46"/>
        <v>0</v>
      </c>
      <c r="N1020">
        <f t="shared" si="47"/>
        <v>0</v>
      </c>
    </row>
    <row r="1021" spans="1:14">
      <c r="A1021">
        <v>7906</v>
      </c>
      <c r="B1021" t="s">
        <v>1246</v>
      </c>
      <c r="C1021" t="s">
        <v>756</v>
      </c>
      <c r="D1021" t="s">
        <v>795</v>
      </c>
      <c r="E1021">
        <v>538294</v>
      </c>
      <c r="G1021" s="2">
        <v>2.7777777777777779E-3</v>
      </c>
      <c r="H1021" s="2">
        <v>2.9166666666666664E-2</v>
      </c>
      <c r="J1021">
        <v>0.592668806543033</v>
      </c>
      <c r="K1021" t="s">
        <v>797</v>
      </c>
      <c r="L1021" t="str">
        <f t="shared" si="45"/>
        <v>37</v>
      </c>
      <c r="M1021">
        <f t="shared" si="46"/>
        <v>0</v>
      </c>
      <c r="N1021">
        <f t="shared" si="47"/>
        <v>0</v>
      </c>
    </row>
    <row r="1022" spans="1:14">
      <c r="A1022">
        <v>7906</v>
      </c>
      <c r="B1022" t="s">
        <v>1246</v>
      </c>
      <c r="C1022" t="s">
        <v>756</v>
      </c>
      <c r="D1022" t="s">
        <v>795</v>
      </c>
      <c r="E1022">
        <v>538294</v>
      </c>
      <c r="G1022" s="2">
        <v>2.9166666666666664E-2</v>
      </c>
      <c r="H1022" s="2">
        <v>8.6111111111111124E-2</v>
      </c>
      <c r="J1022">
        <v>1.2789168983296999</v>
      </c>
      <c r="K1022" t="s">
        <v>796</v>
      </c>
      <c r="L1022" t="str">
        <f t="shared" si="45"/>
        <v>37</v>
      </c>
      <c r="M1022">
        <f t="shared" si="46"/>
        <v>0</v>
      </c>
      <c r="N1022">
        <f t="shared" si="47"/>
        <v>0</v>
      </c>
    </row>
    <row r="1023" spans="1:14">
      <c r="A1023">
        <v>7906</v>
      </c>
      <c r="B1023" t="s">
        <v>1246</v>
      </c>
      <c r="C1023" t="s">
        <v>756</v>
      </c>
      <c r="D1023" t="s">
        <v>795</v>
      </c>
      <c r="E1023">
        <v>538294</v>
      </c>
      <c r="G1023" s="2">
        <v>8.6111111111111124E-2</v>
      </c>
      <c r="H1023" s="2">
        <v>9.5138888888888884E-2</v>
      </c>
      <c r="J1023">
        <v>0.20275511802787999</v>
      </c>
      <c r="K1023" t="s">
        <v>797</v>
      </c>
      <c r="L1023" t="str">
        <f t="shared" si="45"/>
        <v>37</v>
      </c>
      <c r="M1023">
        <f t="shared" si="46"/>
        <v>0</v>
      </c>
      <c r="N1023">
        <f t="shared" si="47"/>
        <v>0</v>
      </c>
    </row>
    <row r="1024" spans="1:14">
      <c r="A1024">
        <v>7906</v>
      </c>
      <c r="B1024" t="s">
        <v>1246</v>
      </c>
      <c r="C1024" t="s">
        <v>756</v>
      </c>
      <c r="D1024" t="s">
        <v>795</v>
      </c>
      <c r="E1024">
        <v>538294</v>
      </c>
      <c r="G1024" s="2">
        <v>9.5138888888888884E-2</v>
      </c>
      <c r="H1024" s="2">
        <v>0.11458333333333333</v>
      </c>
      <c r="J1024">
        <v>0.43670333113697202</v>
      </c>
      <c r="K1024" t="s">
        <v>796</v>
      </c>
      <c r="L1024" t="str">
        <f t="shared" si="45"/>
        <v>37</v>
      </c>
      <c r="M1024">
        <f t="shared" si="46"/>
        <v>0</v>
      </c>
      <c r="N1024">
        <f t="shared" si="47"/>
        <v>0</v>
      </c>
    </row>
    <row r="1025" spans="1:14">
      <c r="A1025">
        <v>7906</v>
      </c>
      <c r="B1025" t="s">
        <v>1246</v>
      </c>
      <c r="C1025" t="s">
        <v>756</v>
      </c>
      <c r="D1025" t="s">
        <v>795</v>
      </c>
      <c r="E1025">
        <v>538294</v>
      </c>
      <c r="G1025" s="2">
        <v>0.11458333333333333</v>
      </c>
      <c r="H1025" s="2">
        <v>0.12847222222222224</v>
      </c>
      <c r="J1025">
        <v>0.31193095081212202</v>
      </c>
      <c r="K1025" t="s">
        <v>797</v>
      </c>
      <c r="L1025" t="str">
        <f t="shared" si="45"/>
        <v>37</v>
      </c>
      <c r="M1025">
        <f t="shared" si="46"/>
        <v>0</v>
      </c>
      <c r="N1025">
        <f t="shared" si="47"/>
        <v>0</v>
      </c>
    </row>
    <row r="1026" spans="1:14">
      <c r="A1026">
        <v>7906</v>
      </c>
      <c r="B1026" t="s">
        <v>1246</v>
      </c>
      <c r="C1026" t="s">
        <v>756</v>
      </c>
      <c r="D1026" t="s">
        <v>795</v>
      </c>
      <c r="E1026">
        <v>538294</v>
      </c>
      <c r="G1026" s="2">
        <v>0.12847222222222224</v>
      </c>
      <c r="H1026" s="2">
        <v>0.16666666666666666</v>
      </c>
      <c r="J1026">
        <v>0.85781011473333801</v>
      </c>
      <c r="K1026" t="s">
        <v>778</v>
      </c>
      <c r="L1026" t="str">
        <f t="shared" ref="L1026:L1089" si="48">RIGHT(LEFT(K1026,4),2)</f>
        <v>37</v>
      </c>
      <c r="M1026">
        <f t="shared" ref="M1026:M1089" si="49">IF(I1026=0,0,I1026-H1026)+IF(F1026=0,0,G1026-F1026)</f>
        <v>0</v>
      </c>
      <c r="N1026">
        <f t="shared" ref="N1026:N1089" si="50">(M1026-INT(M1026))*24</f>
        <v>0</v>
      </c>
    </row>
    <row r="1027" spans="1:14">
      <c r="A1027">
        <v>7146</v>
      </c>
      <c r="B1027" t="s">
        <v>1135</v>
      </c>
      <c r="C1027" t="s">
        <v>754</v>
      </c>
      <c r="D1027" t="s">
        <v>1076</v>
      </c>
      <c r="E1027">
        <v>18933</v>
      </c>
      <c r="G1027" s="2">
        <v>6.805555555555555E-2</v>
      </c>
      <c r="H1027" s="2">
        <v>7.013888888888889E-2</v>
      </c>
      <c r="J1027">
        <v>4.7522340210547499E-2</v>
      </c>
      <c r="K1027" t="s">
        <v>767</v>
      </c>
      <c r="L1027" t="str">
        <f t="shared" si="48"/>
        <v>37</v>
      </c>
      <c r="M1027">
        <f t="shared" si="49"/>
        <v>0</v>
      </c>
      <c r="N1027">
        <f t="shared" si="50"/>
        <v>0</v>
      </c>
    </row>
    <row r="1028" spans="1:14">
      <c r="A1028">
        <v>7146</v>
      </c>
      <c r="B1028" t="s">
        <v>1135</v>
      </c>
      <c r="C1028" t="s">
        <v>754</v>
      </c>
      <c r="D1028" t="s">
        <v>1076</v>
      </c>
      <c r="E1028">
        <v>18933</v>
      </c>
      <c r="G1028" s="2">
        <v>7.013888888888889E-2</v>
      </c>
      <c r="H1028" s="2">
        <v>0.16805555555555554</v>
      </c>
      <c r="J1028">
        <v>2.2335499898957298</v>
      </c>
      <c r="K1028" t="s">
        <v>827</v>
      </c>
      <c r="L1028" t="str">
        <f t="shared" si="48"/>
        <v>37</v>
      </c>
      <c r="M1028">
        <f t="shared" si="49"/>
        <v>0</v>
      </c>
      <c r="N1028">
        <f t="shared" si="50"/>
        <v>0</v>
      </c>
    </row>
    <row r="1029" spans="1:14">
      <c r="A1029">
        <v>7146</v>
      </c>
      <c r="B1029" t="s">
        <v>1135</v>
      </c>
      <c r="C1029" t="s">
        <v>754</v>
      </c>
      <c r="D1029" t="s">
        <v>1076</v>
      </c>
      <c r="E1029">
        <v>18933</v>
      </c>
      <c r="G1029" s="2">
        <v>0.16805555555555554</v>
      </c>
      <c r="H1029" s="2">
        <v>0.4069444444444445</v>
      </c>
      <c r="J1029">
        <v>5.4492283441427798</v>
      </c>
      <c r="K1029" t="s">
        <v>768</v>
      </c>
      <c r="L1029" t="str">
        <f t="shared" si="48"/>
        <v>46</v>
      </c>
      <c r="M1029">
        <f t="shared" si="49"/>
        <v>0</v>
      </c>
      <c r="N1029">
        <f t="shared" si="50"/>
        <v>0</v>
      </c>
    </row>
    <row r="1030" spans="1:14">
      <c r="A1030">
        <v>7146</v>
      </c>
      <c r="B1030" t="s">
        <v>1135</v>
      </c>
      <c r="C1030" t="s">
        <v>754</v>
      </c>
      <c r="D1030" t="s">
        <v>1076</v>
      </c>
      <c r="E1030">
        <v>18933</v>
      </c>
      <c r="G1030" s="2">
        <v>0.4069444444444445</v>
      </c>
      <c r="H1030" s="2">
        <v>0.47916666666666669</v>
      </c>
      <c r="J1030">
        <v>1.64744112729897</v>
      </c>
      <c r="K1030" t="s">
        <v>778</v>
      </c>
      <c r="L1030" t="str">
        <f t="shared" si="48"/>
        <v>37</v>
      </c>
      <c r="M1030">
        <f t="shared" si="49"/>
        <v>0</v>
      </c>
      <c r="N1030">
        <f t="shared" si="50"/>
        <v>0</v>
      </c>
    </row>
    <row r="1031" spans="1:14">
      <c r="A1031">
        <v>7848</v>
      </c>
      <c r="B1031" t="s">
        <v>1247</v>
      </c>
      <c r="C1031" t="s">
        <v>755</v>
      </c>
      <c r="D1031" t="s">
        <v>757</v>
      </c>
      <c r="E1031">
        <v>518515</v>
      </c>
      <c r="G1031" s="2">
        <v>0.21249999999999999</v>
      </c>
      <c r="H1031" s="2">
        <v>0.33402777777777781</v>
      </c>
      <c r="J1031">
        <v>2.7415105754945199</v>
      </c>
      <c r="K1031" t="s">
        <v>799</v>
      </c>
      <c r="L1031" t="str">
        <f t="shared" si="48"/>
        <v>33</v>
      </c>
      <c r="M1031">
        <f t="shared" si="49"/>
        <v>0</v>
      </c>
      <c r="N1031">
        <f t="shared" si="50"/>
        <v>0</v>
      </c>
    </row>
    <row r="1032" spans="1:14">
      <c r="A1032">
        <v>7848</v>
      </c>
      <c r="B1032" t="s">
        <v>1247</v>
      </c>
      <c r="C1032" t="s">
        <v>755</v>
      </c>
      <c r="D1032" t="s">
        <v>757</v>
      </c>
      <c r="E1032">
        <v>518515</v>
      </c>
      <c r="G1032" s="2">
        <v>0.33402777777777781</v>
      </c>
      <c r="H1032" s="2">
        <v>0.3354166666666667</v>
      </c>
      <c r="J1032">
        <v>3.1331549434223102E-2</v>
      </c>
      <c r="K1032" t="s">
        <v>812</v>
      </c>
      <c r="L1032" t="str">
        <f t="shared" si="48"/>
        <v>33</v>
      </c>
      <c r="M1032">
        <f t="shared" si="49"/>
        <v>0</v>
      </c>
      <c r="N1032">
        <f t="shared" si="50"/>
        <v>0</v>
      </c>
    </row>
    <row r="1033" spans="1:14">
      <c r="A1033">
        <v>7848</v>
      </c>
      <c r="B1033" t="s">
        <v>1247</v>
      </c>
      <c r="C1033" t="s">
        <v>755</v>
      </c>
      <c r="D1033" t="s">
        <v>757</v>
      </c>
      <c r="E1033">
        <v>518515</v>
      </c>
      <c r="G1033" s="2">
        <v>0.3354166666666667</v>
      </c>
      <c r="H1033" s="2">
        <v>0.33819444444444446</v>
      </c>
      <c r="J1033">
        <v>6.2663098868446301E-2</v>
      </c>
      <c r="K1033" t="s">
        <v>798</v>
      </c>
      <c r="L1033" t="str">
        <f t="shared" si="48"/>
        <v>33</v>
      </c>
      <c r="M1033">
        <f t="shared" si="49"/>
        <v>0</v>
      </c>
      <c r="N1033">
        <f t="shared" si="50"/>
        <v>0</v>
      </c>
    </row>
    <row r="1034" spans="1:14">
      <c r="A1034">
        <v>7848</v>
      </c>
      <c r="B1034" t="s">
        <v>1247</v>
      </c>
      <c r="C1034" t="s">
        <v>755</v>
      </c>
      <c r="D1034" t="s">
        <v>757</v>
      </c>
      <c r="E1034">
        <v>518515</v>
      </c>
      <c r="G1034" s="2">
        <v>0.33819444444444446</v>
      </c>
      <c r="H1034" s="2">
        <v>0.34166666666666662</v>
      </c>
      <c r="J1034">
        <v>7.8328873585557804E-2</v>
      </c>
      <c r="K1034" t="s">
        <v>812</v>
      </c>
      <c r="L1034" t="str">
        <f t="shared" si="48"/>
        <v>33</v>
      </c>
      <c r="M1034">
        <f t="shared" si="49"/>
        <v>0</v>
      </c>
      <c r="N1034">
        <f t="shared" si="50"/>
        <v>0</v>
      </c>
    </row>
    <row r="1035" spans="1:14">
      <c r="A1035">
        <v>7848</v>
      </c>
      <c r="B1035" t="s">
        <v>1247</v>
      </c>
      <c r="C1035" t="s">
        <v>755</v>
      </c>
      <c r="D1035" t="s">
        <v>757</v>
      </c>
      <c r="E1035">
        <v>518515</v>
      </c>
      <c r="G1035" s="2">
        <v>0.34166666666666662</v>
      </c>
      <c r="H1035" s="2">
        <v>0.34791666666666665</v>
      </c>
      <c r="J1035">
        <v>0.14099197245400399</v>
      </c>
      <c r="K1035" t="s">
        <v>798</v>
      </c>
      <c r="L1035" t="str">
        <f t="shared" si="48"/>
        <v>33</v>
      </c>
      <c r="M1035">
        <f t="shared" si="49"/>
        <v>0</v>
      </c>
      <c r="N1035">
        <f t="shared" si="50"/>
        <v>0</v>
      </c>
    </row>
    <row r="1036" spans="1:14">
      <c r="A1036">
        <v>7848</v>
      </c>
      <c r="B1036" t="s">
        <v>1247</v>
      </c>
      <c r="C1036" t="s">
        <v>755</v>
      </c>
      <c r="D1036" t="s">
        <v>757</v>
      </c>
      <c r="E1036">
        <v>518515</v>
      </c>
      <c r="G1036" s="2">
        <v>0.34791666666666665</v>
      </c>
      <c r="H1036" s="2">
        <v>0.35625000000000001</v>
      </c>
      <c r="J1036">
        <v>0.187989296605338</v>
      </c>
      <c r="K1036" t="s">
        <v>812</v>
      </c>
      <c r="L1036" t="str">
        <f t="shared" si="48"/>
        <v>33</v>
      </c>
      <c r="M1036">
        <f t="shared" si="49"/>
        <v>0</v>
      </c>
      <c r="N1036">
        <f t="shared" si="50"/>
        <v>0</v>
      </c>
    </row>
    <row r="1037" spans="1:14">
      <c r="A1037">
        <v>7848</v>
      </c>
      <c r="B1037" t="s">
        <v>1247</v>
      </c>
      <c r="C1037" t="s">
        <v>755</v>
      </c>
      <c r="D1037" t="s">
        <v>757</v>
      </c>
      <c r="E1037">
        <v>518515</v>
      </c>
      <c r="G1037" s="2">
        <v>0.35625000000000001</v>
      </c>
      <c r="H1037" s="2">
        <v>0.3611111111111111</v>
      </c>
      <c r="J1037">
        <v>0.109660423019781</v>
      </c>
      <c r="K1037" t="s">
        <v>798</v>
      </c>
      <c r="L1037" t="str">
        <f t="shared" si="48"/>
        <v>33</v>
      </c>
      <c r="M1037">
        <f t="shared" si="49"/>
        <v>0</v>
      </c>
      <c r="N1037">
        <f t="shared" si="50"/>
        <v>0</v>
      </c>
    </row>
    <row r="1038" spans="1:14">
      <c r="A1038">
        <v>7848</v>
      </c>
      <c r="B1038" t="s">
        <v>1247</v>
      </c>
      <c r="C1038" t="s">
        <v>755</v>
      </c>
      <c r="D1038" t="s">
        <v>757</v>
      </c>
      <c r="E1038">
        <v>518515</v>
      </c>
      <c r="G1038" s="2">
        <v>0.3611111111111111</v>
      </c>
      <c r="H1038" s="2">
        <v>0.36319444444444443</v>
      </c>
      <c r="J1038">
        <v>4.6997324151334702E-2</v>
      </c>
      <c r="K1038" t="s">
        <v>812</v>
      </c>
      <c r="L1038" t="str">
        <f t="shared" si="48"/>
        <v>33</v>
      </c>
      <c r="M1038">
        <f t="shared" si="49"/>
        <v>0</v>
      </c>
      <c r="N1038">
        <f t="shared" si="50"/>
        <v>0</v>
      </c>
    </row>
    <row r="1039" spans="1:14">
      <c r="A1039">
        <v>7848</v>
      </c>
      <c r="B1039" t="s">
        <v>1247</v>
      </c>
      <c r="C1039" t="s">
        <v>755</v>
      </c>
      <c r="D1039" t="s">
        <v>757</v>
      </c>
      <c r="E1039">
        <v>518515</v>
      </c>
      <c r="G1039" s="2">
        <v>0.36319444444444443</v>
      </c>
      <c r="H1039" s="2">
        <v>0.36527777777777781</v>
      </c>
      <c r="J1039">
        <v>4.6997324151334702E-2</v>
      </c>
      <c r="K1039" t="s">
        <v>798</v>
      </c>
      <c r="L1039" t="str">
        <f t="shared" si="48"/>
        <v>33</v>
      </c>
      <c r="M1039">
        <f t="shared" si="49"/>
        <v>0</v>
      </c>
      <c r="N1039">
        <f t="shared" si="50"/>
        <v>0</v>
      </c>
    </row>
    <row r="1040" spans="1:14">
      <c r="A1040">
        <v>7848</v>
      </c>
      <c r="B1040" t="s">
        <v>1247</v>
      </c>
      <c r="C1040" t="s">
        <v>755</v>
      </c>
      <c r="D1040" t="s">
        <v>757</v>
      </c>
      <c r="E1040">
        <v>518515</v>
      </c>
      <c r="G1040" s="2">
        <v>0.36527777777777781</v>
      </c>
      <c r="H1040" s="2">
        <v>0.3666666666666667</v>
      </c>
      <c r="J1040">
        <v>3.1331549434223102E-2</v>
      </c>
      <c r="K1040" t="s">
        <v>812</v>
      </c>
      <c r="L1040" t="str">
        <f t="shared" si="48"/>
        <v>33</v>
      </c>
      <c r="M1040">
        <f t="shared" si="49"/>
        <v>0</v>
      </c>
      <c r="N1040">
        <f t="shared" si="50"/>
        <v>0</v>
      </c>
    </row>
    <row r="1041" spans="1:14">
      <c r="A1041">
        <v>7848</v>
      </c>
      <c r="B1041" t="s">
        <v>1247</v>
      </c>
      <c r="C1041" t="s">
        <v>755</v>
      </c>
      <c r="D1041" t="s">
        <v>757</v>
      </c>
      <c r="E1041">
        <v>518515</v>
      </c>
      <c r="G1041" s="2">
        <v>0.3666666666666667</v>
      </c>
      <c r="H1041" s="2">
        <v>0.37222222222222223</v>
      </c>
      <c r="J1041">
        <v>0.12532619773689199</v>
      </c>
      <c r="K1041" t="s">
        <v>798</v>
      </c>
      <c r="L1041" t="str">
        <f t="shared" si="48"/>
        <v>33</v>
      </c>
      <c r="M1041">
        <f t="shared" si="49"/>
        <v>0</v>
      </c>
      <c r="N1041">
        <f t="shared" si="50"/>
        <v>0</v>
      </c>
    </row>
    <row r="1042" spans="1:14">
      <c r="A1042">
        <v>7848</v>
      </c>
      <c r="B1042" t="s">
        <v>1247</v>
      </c>
      <c r="C1042" t="s">
        <v>755</v>
      </c>
      <c r="D1042" t="s">
        <v>757</v>
      </c>
      <c r="E1042">
        <v>518515</v>
      </c>
      <c r="G1042" s="2">
        <v>0.37222222222222223</v>
      </c>
      <c r="H1042" s="2">
        <v>0.37638888888888888</v>
      </c>
      <c r="J1042">
        <v>9.3994648302669404E-2</v>
      </c>
      <c r="K1042" t="s">
        <v>812</v>
      </c>
      <c r="L1042" t="str">
        <f t="shared" si="48"/>
        <v>33</v>
      </c>
      <c r="M1042">
        <f t="shared" si="49"/>
        <v>0</v>
      </c>
      <c r="N1042">
        <f t="shared" si="50"/>
        <v>0</v>
      </c>
    </row>
    <row r="1043" spans="1:14">
      <c r="A1043">
        <v>7848</v>
      </c>
      <c r="B1043" t="s">
        <v>1247</v>
      </c>
      <c r="C1043" t="s">
        <v>755</v>
      </c>
      <c r="D1043" t="s">
        <v>757</v>
      </c>
      <c r="E1043">
        <v>518515</v>
      </c>
      <c r="G1043" s="2">
        <v>0.37638888888888888</v>
      </c>
      <c r="H1043" s="2">
        <v>0.37847222222222227</v>
      </c>
      <c r="J1043">
        <v>4.6997324151334702E-2</v>
      </c>
      <c r="K1043" t="s">
        <v>798</v>
      </c>
      <c r="L1043" t="str">
        <f t="shared" si="48"/>
        <v>33</v>
      </c>
      <c r="M1043">
        <f t="shared" si="49"/>
        <v>0</v>
      </c>
      <c r="N1043">
        <f t="shared" si="50"/>
        <v>0</v>
      </c>
    </row>
    <row r="1044" spans="1:14">
      <c r="A1044">
        <v>7848</v>
      </c>
      <c r="B1044" t="s">
        <v>1247</v>
      </c>
      <c r="C1044" t="s">
        <v>755</v>
      </c>
      <c r="D1044" t="s">
        <v>757</v>
      </c>
      <c r="E1044">
        <v>518515</v>
      </c>
      <c r="G1044" s="2">
        <v>0.37847222222222227</v>
      </c>
      <c r="H1044" s="2">
        <v>0.38055555555555554</v>
      </c>
      <c r="J1044">
        <v>4.6997324151334702E-2</v>
      </c>
      <c r="K1044" t="s">
        <v>812</v>
      </c>
      <c r="L1044" t="str">
        <f t="shared" si="48"/>
        <v>33</v>
      </c>
      <c r="M1044">
        <f t="shared" si="49"/>
        <v>0</v>
      </c>
      <c r="N1044">
        <f t="shared" si="50"/>
        <v>0</v>
      </c>
    </row>
    <row r="1045" spans="1:14">
      <c r="A1045">
        <v>7848</v>
      </c>
      <c r="B1045" t="s">
        <v>1247</v>
      </c>
      <c r="C1045" t="s">
        <v>755</v>
      </c>
      <c r="D1045" t="s">
        <v>757</v>
      </c>
      <c r="E1045">
        <v>518515</v>
      </c>
      <c r="G1045" s="2">
        <v>0.38055555555555554</v>
      </c>
      <c r="H1045" s="2">
        <v>0.38194444444444442</v>
      </c>
      <c r="J1045">
        <v>3.1331549434223102E-2</v>
      </c>
      <c r="K1045" t="s">
        <v>798</v>
      </c>
      <c r="L1045" t="str">
        <f t="shared" si="48"/>
        <v>33</v>
      </c>
      <c r="M1045">
        <f t="shared" si="49"/>
        <v>0</v>
      </c>
      <c r="N1045">
        <f t="shared" si="50"/>
        <v>0</v>
      </c>
    </row>
    <row r="1046" spans="1:14">
      <c r="A1046">
        <v>7848</v>
      </c>
      <c r="B1046" t="s">
        <v>1247</v>
      </c>
      <c r="C1046" t="s">
        <v>755</v>
      </c>
      <c r="D1046" t="s">
        <v>757</v>
      </c>
      <c r="E1046">
        <v>518515</v>
      </c>
      <c r="G1046" s="2">
        <v>0.38194444444444442</v>
      </c>
      <c r="H1046" s="2">
        <v>0.38680555555555557</v>
      </c>
      <c r="J1046">
        <v>0.109660423019781</v>
      </c>
      <c r="K1046" t="s">
        <v>812</v>
      </c>
      <c r="L1046" t="str">
        <f t="shared" si="48"/>
        <v>33</v>
      </c>
      <c r="M1046">
        <f t="shared" si="49"/>
        <v>0</v>
      </c>
      <c r="N1046">
        <f t="shared" si="50"/>
        <v>0</v>
      </c>
    </row>
    <row r="1047" spans="1:14">
      <c r="A1047">
        <v>7848</v>
      </c>
      <c r="B1047" t="s">
        <v>1247</v>
      </c>
      <c r="C1047" t="s">
        <v>755</v>
      </c>
      <c r="D1047" t="s">
        <v>757</v>
      </c>
      <c r="E1047">
        <v>518515</v>
      </c>
      <c r="G1047" s="2">
        <v>0.38680555555555557</v>
      </c>
      <c r="H1047" s="2">
        <v>0.39305555555555555</v>
      </c>
      <c r="J1047">
        <v>0.14099197245400399</v>
      </c>
      <c r="K1047" t="s">
        <v>798</v>
      </c>
      <c r="L1047" t="str">
        <f t="shared" si="48"/>
        <v>33</v>
      </c>
      <c r="M1047">
        <f t="shared" si="49"/>
        <v>0</v>
      </c>
      <c r="N1047">
        <f t="shared" si="50"/>
        <v>0</v>
      </c>
    </row>
    <row r="1048" spans="1:14">
      <c r="A1048">
        <v>7848</v>
      </c>
      <c r="B1048" t="s">
        <v>1247</v>
      </c>
      <c r="C1048" t="s">
        <v>755</v>
      </c>
      <c r="D1048" t="s">
        <v>757</v>
      </c>
      <c r="E1048">
        <v>518515</v>
      </c>
      <c r="G1048" s="2">
        <v>0.39305555555555555</v>
      </c>
      <c r="H1048" s="2">
        <v>0.43263888888888885</v>
      </c>
      <c r="J1048">
        <v>0.89294915887535897</v>
      </c>
      <c r="K1048" t="s">
        <v>812</v>
      </c>
      <c r="L1048" t="str">
        <f t="shared" si="48"/>
        <v>33</v>
      </c>
      <c r="M1048">
        <f t="shared" si="49"/>
        <v>0</v>
      </c>
      <c r="N1048">
        <f t="shared" si="50"/>
        <v>0</v>
      </c>
    </row>
    <row r="1049" spans="1:14">
      <c r="A1049">
        <v>7848</v>
      </c>
      <c r="B1049" t="s">
        <v>1247</v>
      </c>
      <c r="C1049" t="s">
        <v>755</v>
      </c>
      <c r="D1049" t="s">
        <v>757</v>
      </c>
      <c r="E1049">
        <v>518515</v>
      </c>
      <c r="G1049" s="2">
        <v>0.43263888888888885</v>
      </c>
      <c r="H1049" s="2">
        <v>0.5625</v>
      </c>
      <c r="J1049">
        <v>2.9294998720998602</v>
      </c>
      <c r="K1049" t="s">
        <v>773</v>
      </c>
      <c r="L1049" t="str">
        <f t="shared" si="48"/>
        <v>33</v>
      </c>
      <c r="M1049">
        <f t="shared" si="49"/>
        <v>0</v>
      </c>
      <c r="N1049">
        <f t="shared" si="50"/>
        <v>0</v>
      </c>
    </row>
    <row r="1050" spans="1:14">
      <c r="A1050">
        <v>7310</v>
      </c>
      <c r="B1050" t="s">
        <v>1248</v>
      </c>
      <c r="C1050" t="s">
        <v>754</v>
      </c>
      <c r="D1050" t="s">
        <v>832</v>
      </c>
      <c r="E1050">
        <v>35271</v>
      </c>
      <c r="G1050" s="2">
        <v>0.12569444444444444</v>
      </c>
      <c r="H1050" s="2">
        <v>0.17361111111111113</v>
      </c>
      <c r="J1050">
        <v>1.0917510386181799</v>
      </c>
      <c r="K1050" t="s">
        <v>827</v>
      </c>
      <c r="L1050" t="str">
        <f t="shared" si="48"/>
        <v>37</v>
      </c>
      <c r="M1050">
        <f t="shared" si="49"/>
        <v>0</v>
      </c>
      <c r="N1050">
        <f t="shared" si="50"/>
        <v>0</v>
      </c>
    </row>
    <row r="1051" spans="1:14">
      <c r="A1051">
        <v>7310</v>
      </c>
      <c r="B1051" t="s">
        <v>1248</v>
      </c>
      <c r="C1051" t="s">
        <v>754</v>
      </c>
      <c r="D1051" t="s">
        <v>832</v>
      </c>
      <c r="E1051">
        <v>35271</v>
      </c>
      <c r="G1051" s="2">
        <v>0.17361111111111113</v>
      </c>
      <c r="H1051" s="2">
        <v>0.17708333333333334</v>
      </c>
      <c r="J1051">
        <v>7.91123941027667E-2</v>
      </c>
      <c r="K1051" t="s">
        <v>767</v>
      </c>
      <c r="L1051" t="str">
        <f t="shared" si="48"/>
        <v>37</v>
      </c>
      <c r="M1051">
        <f t="shared" si="49"/>
        <v>0</v>
      </c>
      <c r="N1051">
        <f t="shared" si="50"/>
        <v>0</v>
      </c>
    </row>
    <row r="1052" spans="1:14">
      <c r="A1052">
        <v>7310</v>
      </c>
      <c r="B1052" t="s">
        <v>1248</v>
      </c>
      <c r="C1052" t="s">
        <v>754</v>
      </c>
      <c r="D1052" t="s">
        <v>832</v>
      </c>
      <c r="E1052">
        <v>35271</v>
      </c>
      <c r="G1052" s="2">
        <v>0.17708333333333334</v>
      </c>
      <c r="H1052" s="2">
        <v>0.2298611111111111</v>
      </c>
      <c r="J1052">
        <v>1.2025083903620499</v>
      </c>
      <c r="K1052" t="s">
        <v>827</v>
      </c>
      <c r="L1052" t="str">
        <f t="shared" si="48"/>
        <v>37</v>
      </c>
      <c r="M1052">
        <f t="shared" si="49"/>
        <v>0</v>
      </c>
      <c r="N1052">
        <f t="shared" si="50"/>
        <v>0</v>
      </c>
    </row>
    <row r="1053" spans="1:14">
      <c r="A1053">
        <v>7310</v>
      </c>
      <c r="B1053" t="s">
        <v>1248</v>
      </c>
      <c r="C1053" t="s">
        <v>754</v>
      </c>
      <c r="D1053" t="s">
        <v>832</v>
      </c>
      <c r="E1053">
        <v>35271</v>
      </c>
      <c r="G1053" s="2">
        <v>0.2298611111111111</v>
      </c>
      <c r="H1053" s="2">
        <v>0.24166666666666667</v>
      </c>
      <c r="J1053">
        <v>0.26898213994940601</v>
      </c>
      <c r="K1053" t="s">
        <v>778</v>
      </c>
      <c r="L1053" t="str">
        <f t="shared" si="48"/>
        <v>37</v>
      </c>
      <c r="M1053">
        <f t="shared" si="49"/>
        <v>0</v>
      </c>
      <c r="N1053">
        <f t="shared" si="50"/>
        <v>0</v>
      </c>
    </row>
    <row r="1054" spans="1:14">
      <c r="A1054">
        <v>7310</v>
      </c>
      <c r="B1054" t="s">
        <v>1248</v>
      </c>
      <c r="C1054" t="s">
        <v>754</v>
      </c>
      <c r="D1054" t="s">
        <v>832</v>
      </c>
      <c r="E1054">
        <v>35271</v>
      </c>
      <c r="G1054" s="2">
        <v>0.24166666666666667</v>
      </c>
      <c r="H1054" s="2">
        <v>0.45763888888888887</v>
      </c>
      <c r="J1054">
        <v>4.9207909131920902</v>
      </c>
      <c r="K1054" t="s">
        <v>957</v>
      </c>
      <c r="L1054" t="str">
        <f t="shared" si="48"/>
        <v>46</v>
      </c>
      <c r="M1054">
        <f t="shared" si="49"/>
        <v>0</v>
      </c>
      <c r="N1054">
        <f t="shared" si="50"/>
        <v>0</v>
      </c>
    </row>
    <row r="1055" spans="1:14">
      <c r="A1055">
        <v>7310</v>
      </c>
      <c r="B1055" t="s">
        <v>1248</v>
      </c>
      <c r="C1055" t="s">
        <v>754</v>
      </c>
      <c r="D1055" t="s">
        <v>832</v>
      </c>
      <c r="E1055">
        <v>35271</v>
      </c>
      <c r="G1055" s="2">
        <v>0.45763888888888887</v>
      </c>
      <c r="H1055" s="2">
        <v>0.52986111111111112</v>
      </c>
      <c r="J1055">
        <v>1.64553779733754</v>
      </c>
      <c r="K1055" t="s">
        <v>778</v>
      </c>
      <c r="L1055" t="str">
        <f t="shared" si="48"/>
        <v>37</v>
      </c>
      <c r="M1055">
        <f t="shared" si="49"/>
        <v>0</v>
      </c>
      <c r="N1055">
        <f t="shared" si="50"/>
        <v>0</v>
      </c>
    </row>
    <row r="1056" spans="1:14">
      <c r="A1056">
        <v>7310</v>
      </c>
      <c r="B1056" t="s">
        <v>1248</v>
      </c>
      <c r="C1056" t="s">
        <v>754</v>
      </c>
      <c r="D1056" t="s">
        <v>832</v>
      </c>
      <c r="E1056">
        <v>35271</v>
      </c>
      <c r="G1056" s="2">
        <v>0.52986111111111112</v>
      </c>
      <c r="H1056" s="2">
        <v>0.54166666666666663</v>
      </c>
      <c r="J1056">
        <v>0.26898213994940601</v>
      </c>
      <c r="K1056" t="s">
        <v>816</v>
      </c>
      <c r="L1056" t="str">
        <f t="shared" si="48"/>
        <v>46</v>
      </c>
      <c r="M1056">
        <f t="shared" si="49"/>
        <v>0</v>
      </c>
      <c r="N1056">
        <f t="shared" si="50"/>
        <v>0</v>
      </c>
    </row>
    <row r="1057" spans="1:14">
      <c r="A1057">
        <v>7737</v>
      </c>
      <c r="B1057" t="s">
        <v>1249</v>
      </c>
      <c r="C1057" t="s">
        <v>756</v>
      </c>
      <c r="E1057">
        <v>356196</v>
      </c>
      <c r="G1057" s="2">
        <v>0.62986111111111109</v>
      </c>
      <c r="H1057" s="2">
        <v>0.62986111111111109</v>
      </c>
      <c r="J1057">
        <v>0</v>
      </c>
      <c r="K1057" t="s">
        <v>759</v>
      </c>
      <c r="L1057" t="str">
        <f t="shared" si="48"/>
        <v>33</v>
      </c>
      <c r="M1057">
        <f t="shared" si="49"/>
        <v>0</v>
      </c>
      <c r="N1057">
        <f t="shared" si="50"/>
        <v>0</v>
      </c>
    </row>
    <row r="1058" spans="1:14">
      <c r="A1058">
        <v>7737</v>
      </c>
      <c r="B1058" t="s">
        <v>1249</v>
      </c>
      <c r="C1058" t="s">
        <v>756</v>
      </c>
      <c r="E1058">
        <v>356196</v>
      </c>
      <c r="G1058" s="2">
        <v>0.62986111111111109</v>
      </c>
      <c r="H1058" s="2">
        <v>0.63263888888888886</v>
      </c>
      <c r="J1058">
        <v>6.6636989073248901E-2</v>
      </c>
      <c r="K1058" t="s">
        <v>760</v>
      </c>
      <c r="L1058" t="str">
        <f t="shared" si="48"/>
        <v>33</v>
      </c>
      <c r="M1058">
        <f t="shared" si="49"/>
        <v>0</v>
      </c>
      <c r="N1058">
        <f t="shared" si="50"/>
        <v>0</v>
      </c>
    </row>
    <row r="1059" spans="1:14">
      <c r="A1059">
        <v>7737</v>
      </c>
      <c r="B1059" t="s">
        <v>1249</v>
      </c>
      <c r="C1059" t="s">
        <v>756</v>
      </c>
      <c r="E1059">
        <v>356196</v>
      </c>
      <c r="G1059" s="2">
        <v>0.63263888888888886</v>
      </c>
      <c r="H1059" s="2">
        <v>0.63541666666666663</v>
      </c>
      <c r="J1059">
        <v>6.6636989073248901E-2</v>
      </c>
      <c r="K1059" t="s">
        <v>759</v>
      </c>
      <c r="L1059" t="str">
        <f t="shared" si="48"/>
        <v>33</v>
      </c>
      <c r="M1059">
        <f t="shared" si="49"/>
        <v>0</v>
      </c>
      <c r="N1059">
        <f t="shared" si="50"/>
        <v>0</v>
      </c>
    </row>
    <row r="1060" spans="1:14">
      <c r="A1060">
        <v>7737</v>
      </c>
      <c r="B1060" t="s">
        <v>1249</v>
      </c>
      <c r="C1060" t="s">
        <v>756</v>
      </c>
      <c r="E1060">
        <v>356196</v>
      </c>
      <c r="G1060" s="2">
        <v>0.63541666666666663</v>
      </c>
      <c r="H1060" s="2">
        <v>0.65486111111111112</v>
      </c>
      <c r="J1060">
        <v>0.46645892351274199</v>
      </c>
      <c r="K1060" t="s">
        <v>760</v>
      </c>
      <c r="L1060" t="str">
        <f t="shared" si="48"/>
        <v>33</v>
      </c>
      <c r="M1060">
        <f t="shared" si="49"/>
        <v>0</v>
      </c>
      <c r="N1060">
        <f t="shared" si="50"/>
        <v>0</v>
      </c>
    </row>
    <row r="1061" spans="1:14">
      <c r="A1061">
        <v>7737</v>
      </c>
      <c r="B1061" t="s">
        <v>1249</v>
      </c>
      <c r="C1061" t="s">
        <v>756</v>
      </c>
      <c r="E1061">
        <v>356196</v>
      </c>
      <c r="G1061" s="2">
        <v>0.65486111111111112</v>
      </c>
      <c r="H1061" s="2">
        <v>0.7583333333333333</v>
      </c>
      <c r="J1061">
        <v>2.4822278429785101</v>
      </c>
      <c r="K1061" t="s">
        <v>778</v>
      </c>
      <c r="L1061" t="str">
        <f t="shared" si="48"/>
        <v>37</v>
      </c>
      <c r="M1061">
        <f t="shared" si="49"/>
        <v>0</v>
      </c>
      <c r="N1061">
        <f t="shared" si="50"/>
        <v>0</v>
      </c>
    </row>
    <row r="1062" spans="1:14">
      <c r="A1062">
        <v>7737</v>
      </c>
      <c r="B1062" t="s">
        <v>1249</v>
      </c>
      <c r="C1062" t="s">
        <v>756</v>
      </c>
      <c r="E1062">
        <v>356196</v>
      </c>
      <c r="G1062" s="2">
        <v>0.7583333333333333</v>
      </c>
      <c r="H1062" s="2">
        <v>0.875</v>
      </c>
      <c r="J1062">
        <v>2.7987535410764499</v>
      </c>
      <c r="K1062" t="s">
        <v>760</v>
      </c>
      <c r="L1062" t="str">
        <f t="shared" si="48"/>
        <v>33</v>
      </c>
      <c r="M1062">
        <f t="shared" si="49"/>
        <v>0</v>
      </c>
      <c r="N1062">
        <f t="shared" si="50"/>
        <v>0</v>
      </c>
    </row>
    <row r="1063" spans="1:14">
      <c r="A1063">
        <v>7552</v>
      </c>
      <c r="B1063" t="s">
        <v>965</v>
      </c>
      <c r="C1063" t="s">
        <v>755</v>
      </c>
      <c r="D1063" t="s">
        <v>945</v>
      </c>
      <c r="E1063">
        <v>112970</v>
      </c>
      <c r="G1063" s="2">
        <v>0.39861111111111108</v>
      </c>
      <c r="H1063" s="2">
        <v>0.40208333333333335</v>
      </c>
      <c r="J1063">
        <v>8.3295545746387201E-2</v>
      </c>
      <c r="K1063" t="s">
        <v>759</v>
      </c>
      <c r="L1063" t="str">
        <f t="shared" si="48"/>
        <v>33</v>
      </c>
      <c r="M1063">
        <f t="shared" si="49"/>
        <v>0</v>
      </c>
      <c r="N1063">
        <f t="shared" si="50"/>
        <v>0</v>
      </c>
    </row>
    <row r="1064" spans="1:14">
      <c r="A1064">
        <v>7552</v>
      </c>
      <c r="B1064" t="s">
        <v>965</v>
      </c>
      <c r="C1064" t="s">
        <v>755</v>
      </c>
      <c r="D1064" t="s">
        <v>945</v>
      </c>
      <c r="E1064">
        <v>112970</v>
      </c>
      <c r="G1064" s="2">
        <v>0.40208333333333335</v>
      </c>
      <c r="H1064" s="2">
        <v>0.4465277777777778</v>
      </c>
      <c r="J1064">
        <v>1.0661829855537599</v>
      </c>
      <c r="K1064" t="s">
        <v>773</v>
      </c>
      <c r="L1064" t="str">
        <f t="shared" si="48"/>
        <v>33</v>
      </c>
      <c r="M1064">
        <f t="shared" si="49"/>
        <v>0</v>
      </c>
      <c r="N1064">
        <f t="shared" si="50"/>
        <v>0</v>
      </c>
    </row>
    <row r="1065" spans="1:14">
      <c r="A1065">
        <v>7552</v>
      </c>
      <c r="B1065" t="s">
        <v>965</v>
      </c>
      <c r="C1065" t="s">
        <v>755</v>
      </c>
      <c r="D1065" t="s">
        <v>945</v>
      </c>
      <c r="E1065">
        <v>112970</v>
      </c>
      <c r="G1065" s="2">
        <v>0.4465277777777778</v>
      </c>
      <c r="H1065" s="2">
        <v>0.64583333333333337</v>
      </c>
      <c r="J1065">
        <v>4.78116432584262</v>
      </c>
      <c r="K1065" t="s">
        <v>842</v>
      </c>
      <c r="L1065" t="str">
        <f t="shared" si="48"/>
        <v>33</v>
      </c>
      <c r="M1065">
        <f t="shared" si="49"/>
        <v>0</v>
      </c>
      <c r="N1065">
        <f t="shared" si="50"/>
        <v>0</v>
      </c>
    </row>
    <row r="1066" spans="1:14">
      <c r="A1066">
        <v>7649</v>
      </c>
      <c r="B1066" t="s">
        <v>1250</v>
      </c>
      <c r="C1066" t="s">
        <v>754</v>
      </c>
      <c r="D1066" t="s">
        <v>757</v>
      </c>
      <c r="E1066">
        <v>178367</v>
      </c>
      <c r="G1066" s="2">
        <v>0.20624999999999999</v>
      </c>
      <c r="H1066" s="2">
        <v>0.44374999999999998</v>
      </c>
      <c r="J1066">
        <v>5.6976428571427897</v>
      </c>
      <c r="K1066" t="s">
        <v>785</v>
      </c>
      <c r="L1066" t="str">
        <f t="shared" si="48"/>
        <v>33</v>
      </c>
      <c r="M1066">
        <f t="shared" si="49"/>
        <v>0</v>
      </c>
      <c r="N1066">
        <f t="shared" si="50"/>
        <v>0</v>
      </c>
    </row>
    <row r="1067" spans="1:14">
      <c r="A1067">
        <v>7649</v>
      </c>
      <c r="B1067" t="s">
        <v>1250</v>
      </c>
      <c r="C1067" t="s">
        <v>754</v>
      </c>
      <c r="D1067" t="s">
        <v>757</v>
      </c>
      <c r="E1067">
        <v>178367</v>
      </c>
      <c r="G1067" s="2">
        <v>0.44374999999999998</v>
      </c>
      <c r="H1067" s="2">
        <v>0.44374999999999998</v>
      </c>
      <c r="J1067">
        <v>0</v>
      </c>
      <c r="K1067" t="s">
        <v>787</v>
      </c>
      <c r="L1067" t="str">
        <f t="shared" si="48"/>
        <v>33</v>
      </c>
      <c r="M1067">
        <f t="shared" si="49"/>
        <v>0</v>
      </c>
      <c r="N1067">
        <f t="shared" si="50"/>
        <v>0</v>
      </c>
    </row>
    <row r="1068" spans="1:14">
      <c r="A1068">
        <v>8011</v>
      </c>
      <c r="B1068" t="s">
        <v>967</v>
      </c>
      <c r="C1068" t="s">
        <v>754</v>
      </c>
      <c r="D1068" t="s">
        <v>775</v>
      </c>
      <c r="E1068">
        <v>23897</v>
      </c>
      <c r="G1068" s="2">
        <v>0.33333333333333331</v>
      </c>
      <c r="H1068" s="2">
        <v>0.66666666666666663</v>
      </c>
      <c r="J1068">
        <v>7.5</v>
      </c>
      <c r="K1068" t="s">
        <v>855</v>
      </c>
      <c r="L1068" t="str">
        <f t="shared" si="48"/>
        <v>65</v>
      </c>
      <c r="M1068">
        <f t="shared" si="49"/>
        <v>0</v>
      </c>
      <c r="N1068">
        <f t="shared" si="50"/>
        <v>0</v>
      </c>
    </row>
    <row r="1069" spans="1:14">
      <c r="A1069">
        <v>7952</v>
      </c>
      <c r="B1069" t="s">
        <v>968</v>
      </c>
      <c r="C1069" t="s">
        <v>755</v>
      </c>
      <c r="D1069" t="s">
        <v>777</v>
      </c>
      <c r="E1069">
        <v>838473</v>
      </c>
      <c r="G1069" s="2">
        <v>0.21041666666666667</v>
      </c>
      <c r="H1069" s="2">
        <v>0.35138888888888892</v>
      </c>
      <c r="J1069">
        <v>3.1813391096082801</v>
      </c>
      <c r="K1069" t="s">
        <v>778</v>
      </c>
      <c r="L1069" t="str">
        <f t="shared" si="48"/>
        <v>37</v>
      </c>
      <c r="M1069">
        <f t="shared" si="49"/>
        <v>0</v>
      </c>
      <c r="N1069">
        <f t="shared" si="50"/>
        <v>0</v>
      </c>
    </row>
    <row r="1070" spans="1:14">
      <c r="A1070">
        <v>7952</v>
      </c>
      <c r="B1070" t="s">
        <v>968</v>
      </c>
      <c r="C1070" t="s">
        <v>755</v>
      </c>
      <c r="D1070" t="s">
        <v>777</v>
      </c>
      <c r="E1070">
        <v>838473</v>
      </c>
      <c r="G1070" s="2">
        <v>0.35138888888888892</v>
      </c>
      <c r="H1070" s="2">
        <v>0.45069444444444445</v>
      </c>
      <c r="J1070">
        <v>2.24104183583243</v>
      </c>
      <c r="K1070" t="s">
        <v>768</v>
      </c>
      <c r="L1070" t="str">
        <f t="shared" si="48"/>
        <v>46</v>
      </c>
      <c r="M1070">
        <f t="shared" si="49"/>
        <v>0</v>
      </c>
      <c r="N1070">
        <f t="shared" si="50"/>
        <v>0</v>
      </c>
    </row>
    <row r="1071" spans="1:14">
      <c r="A1071">
        <v>7952</v>
      </c>
      <c r="B1071" t="s">
        <v>968</v>
      </c>
      <c r="C1071" t="s">
        <v>755</v>
      </c>
      <c r="D1071" t="s">
        <v>777</v>
      </c>
      <c r="E1071">
        <v>838473</v>
      </c>
      <c r="G1071" s="2">
        <v>0.45069444444444445</v>
      </c>
      <c r="H1071" s="2">
        <v>0.5625</v>
      </c>
      <c r="J1071">
        <v>2.52313101796519</v>
      </c>
      <c r="K1071" t="s">
        <v>767</v>
      </c>
      <c r="L1071" t="str">
        <f t="shared" si="48"/>
        <v>37</v>
      </c>
      <c r="M1071">
        <f t="shared" si="49"/>
        <v>0</v>
      </c>
      <c r="N1071">
        <f t="shared" si="50"/>
        <v>0</v>
      </c>
    </row>
    <row r="1072" spans="1:14">
      <c r="A1072">
        <v>7126</v>
      </c>
      <c r="B1072" t="s">
        <v>969</v>
      </c>
      <c r="C1072" t="s">
        <v>755</v>
      </c>
      <c r="D1072">
        <v>65</v>
      </c>
      <c r="E1072">
        <v>30348</v>
      </c>
      <c r="G1072" s="2">
        <v>0.33263888888888887</v>
      </c>
      <c r="H1072" s="2">
        <v>0.59375</v>
      </c>
      <c r="J1072">
        <v>5.7805133708655001</v>
      </c>
      <c r="K1072" t="s">
        <v>891</v>
      </c>
      <c r="L1072" t="str">
        <f t="shared" si="48"/>
        <v>65</v>
      </c>
      <c r="M1072">
        <f t="shared" si="49"/>
        <v>0</v>
      </c>
      <c r="N1072">
        <f t="shared" si="50"/>
        <v>0</v>
      </c>
    </row>
    <row r="1073" spans="1:14">
      <c r="A1073">
        <v>7451</v>
      </c>
      <c r="B1073" t="s">
        <v>1251</v>
      </c>
      <c r="C1073" t="s">
        <v>754</v>
      </c>
      <c r="D1073" t="s">
        <v>766</v>
      </c>
      <c r="E1073">
        <v>301253</v>
      </c>
      <c r="G1073" s="2">
        <v>6.5277777777777782E-2</v>
      </c>
      <c r="H1073" s="2">
        <v>0.25138888888888888</v>
      </c>
      <c r="J1073">
        <v>4.4827142857142697</v>
      </c>
      <c r="K1073" t="s">
        <v>808</v>
      </c>
      <c r="L1073" t="str">
        <f t="shared" si="48"/>
        <v>37</v>
      </c>
      <c r="M1073">
        <f t="shared" si="49"/>
        <v>0</v>
      </c>
      <c r="N1073">
        <f t="shared" si="50"/>
        <v>0</v>
      </c>
    </row>
    <row r="1074" spans="1:14">
      <c r="A1074">
        <v>7508</v>
      </c>
      <c r="B1074" t="s">
        <v>1252</v>
      </c>
      <c r="C1074" t="s">
        <v>755</v>
      </c>
      <c r="D1074" t="s">
        <v>832</v>
      </c>
      <c r="E1074">
        <v>96495</v>
      </c>
      <c r="G1074" s="2">
        <v>0.16875000000000001</v>
      </c>
      <c r="H1074" s="2">
        <v>0.23680555555555557</v>
      </c>
      <c r="J1074">
        <v>1.5358188805005499</v>
      </c>
      <c r="K1074" t="s">
        <v>911</v>
      </c>
      <c r="L1074" t="str">
        <f t="shared" si="48"/>
        <v>37</v>
      </c>
      <c r="M1074">
        <f t="shared" si="49"/>
        <v>0</v>
      </c>
      <c r="N1074">
        <f t="shared" si="50"/>
        <v>0</v>
      </c>
    </row>
    <row r="1075" spans="1:14">
      <c r="A1075">
        <v>7508</v>
      </c>
      <c r="B1075" t="s">
        <v>1252</v>
      </c>
      <c r="C1075" t="s">
        <v>755</v>
      </c>
      <c r="D1075" t="s">
        <v>832</v>
      </c>
      <c r="E1075">
        <v>96495</v>
      </c>
      <c r="G1075" s="2">
        <v>0.23680555555555557</v>
      </c>
      <c r="H1075" s="2">
        <v>0.26041666666666669</v>
      </c>
      <c r="J1075">
        <v>0.53283512180631498</v>
      </c>
      <c r="K1075" t="s">
        <v>768</v>
      </c>
      <c r="L1075" t="str">
        <f t="shared" si="48"/>
        <v>46</v>
      </c>
      <c r="M1075">
        <f t="shared" si="49"/>
        <v>0</v>
      </c>
      <c r="N1075">
        <f t="shared" si="50"/>
        <v>0</v>
      </c>
    </row>
    <row r="1076" spans="1:14">
      <c r="A1076">
        <v>7508</v>
      </c>
      <c r="B1076" t="s">
        <v>1252</v>
      </c>
      <c r="C1076" t="s">
        <v>755</v>
      </c>
      <c r="D1076" t="s">
        <v>832</v>
      </c>
      <c r="E1076">
        <v>96495</v>
      </c>
      <c r="G1076" s="2">
        <v>0.26041666666666669</v>
      </c>
      <c r="H1076" s="2">
        <v>0.26597222222222222</v>
      </c>
      <c r="J1076">
        <v>0.12537296983677901</v>
      </c>
      <c r="K1076" t="s">
        <v>767</v>
      </c>
      <c r="L1076" t="str">
        <f t="shared" si="48"/>
        <v>37</v>
      </c>
      <c r="M1076">
        <f t="shared" si="49"/>
        <v>0</v>
      </c>
      <c r="N1076">
        <f t="shared" si="50"/>
        <v>0</v>
      </c>
    </row>
    <row r="1077" spans="1:14">
      <c r="A1077">
        <v>7508</v>
      </c>
      <c r="B1077" t="s">
        <v>1252</v>
      </c>
      <c r="C1077" t="s">
        <v>755</v>
      </c>
      <c r="D1077" t="s">
        <v>832</v>
      </c>
      <c r="E1077">
        <v>96495</v>
      </c>
      <c r="G1077" s="2">
        <v>0.26597222222222222</v>
      </c>
      <c r="H1077" s="2">
        <v>0.26874999999999999</v>
      </c>
      <c r="J1077">
        <v>6.2686484918390004E-2</v>
      </c>
      <c r="K1077" t="s">
        <v>827</v>
      </c>
      <c r="L1077" t="str">
        <f t="shared" si="48"/>
        <v>37</v>
      </c>
      <c r="M1077">
        <f t="shared" si="49"/>
        <v>0</v>
      </c>
      <c r="N1077">
        <f t="shared" si="50"/>
        <v>0</v>
      </c>
    </row>
    <row r="1078" spans="1:14">
      <c r="A1078">
        <v>7508</v>
      </c>
      <c r="B1078" t="s">
        <v>1252</v>
      </c>
      <c r="C1078" t="s">
        <v>755</v>
      </c>
      <c r="D1078" t="s">
        <v>832</v>
      </c>
      <c r="E1078">
        <v>96495</v>
      </c>
      <c r="G1078" s="2">
        <v>0.26874999999999999</v>
      </c>
      <c r="H1078" s="2">
        <v>0.31597222222222221</v>
      </c>
      <c r="J1078">
        <v>1.06567024361262</v>
      </c>
      <c r="K1078" t="s">
        <v>768</v>
      </c>
      <c r="L1078" t="str">
        <f t="shared" si="48"/>
        <v>46</v>
      </c>
      <c r="M1078">
        <f t="shared" si="49"/>
        <v>0</v>
      </c>
      <c r="N1078">
        <f t="shared" si="50"/>
        <v>0</v>
      </c>
    </row>
    <row r="1079" spans="1:14">
      <c r="A1079">
        <v>7508</v>
      </c>
      <c r="B1079" t="s">
        <v>1252</v>
      </c>
      <c r="C1079" t="s">
        <v>755</v>
      </c>
      <c r="D1079" t="s">
        <v>832</v>
      </c>
      <c r="E1079">
        <v>96495</v>
      </c>
      <c r="G1079" s="2">
        <v>0.31597222222222221</v>
      </c>
      <c r="H1079" s="2">
        <v>0.4145833333333333</v>
      </c>
      <c r="J1079">
        <v>2.2253702146028398</v>
      </c>
      <c r="K1079" t="s">
        <v>767</v>
      </c>
      <c r="L1079" t="str">
        <f t="shared" si="48"/>
        <v>37</v>
      </c>
      <c r="M1079">
        <f t="shared" si="49"/>
        <v>0</v>
      </c>
      <c r="N1079">
        <f t="shared" si="50"/>
        <v>0</v>
      </c>
    </row>
    <row r="1080" spans="1:14">
      <c r="A1080">
        <v>7508</v>
      </c>
      <c r="B1080" t="s">
        <v>1252</v>
      </c>
      <c r="C1080" t="s">
        <v>755</v>
      </c>
      <c r="D1080" t="s">
        <v>832</v>
      </c>
      <c r="E1080">
        <v>96495</v>
      </c>
      <c r="G1080" s="2">
        <v>0.4145833333333333</v>
      </c>
      <c r="H1080" s="2">
        <v>0.41875000000000001</v>
      </c>
      <c r="J1080">
        <v>9.4029727377584901E-2</v>
      </c>
      <c r="K1080" t="s">
        <v>768</v>
      </c>
      <c r="L1080" t="str">
        <f t="shared" si="48"/>
        <v>46</v>
      </c>
      <c r="M1080">
        <f t="shared" si="49"/>
        <v>0</v>
      </c>
      <c r="N1080">
        <f t="shared" si="50"/>
        <v>0</v>
      </c>
    </row>
    <row r="1081" spans="1:14">
      <c r="A1081">
        <v>7508</v>
      </c>
      <c r="B1081" t="s">
        <v>1252</v>
      </c>
      <c r="C1081" t="s">
        <v>755</v>
      </c>
      <c r="D1081" t="s">
        <v>832</v>
      </c>
      <c r="E1081">
        <v>96495</v>
      </c>
      <c r="G1081" s="2">
        <v>0.41875000000000001</v>
      </c>
      <c r="H1081" s="2">
        <v>0.4236111111111111</v>
      </c>
      <c r="J1081">
        <v>0.109701348607182</v>
      </c>
      <c r="K1081" t="s">
        <v>767</v>
      </c>
      <c r="L1081" t="str">
        <f t="shared" si="48"/>
        <v>37</v>
      </c>
      <c r="M1081">
        <f t="shared" si="49"/>
        <v>0</v>
      </c>
      <c r="N1081">
        <f t="shared" si="50"/>
        <v>0</v>
      </c>
    </row>
    <row r="1082" spans="1:14">
      <c r="A1082">
        <v>7508</v>
      </c>
      <c r="B1082" t="s">
        <v>1252</v>
      </c>
      <c r="C1082" t="s">
        <v>755</v>
      </c>
      <c r="D1082" t="s">
        <v>832</v>
      </c>
      <c r="E1082">
        <v>96495</v>
      </c>
      <c r="G1082" s="2">
        <v>0.4236111111111111</v>
      </c>
      <c r="H1082" s="2">
        <v>0.43333333333333335</v>
      </c>
      <c r="J1082">
        <v>0.21940269721436401</v>
      </c>
      <c r="K1082" t="s">
        <v>911</v>
      </c>
      <c r="L1082" t="str">
        <f t="shared" si="48"/>
        <v>37</v>
      </c>
      <c r="M1082">
        <f t="shared" si="49"/>
        <v>0</v>
      </c>
      <c r="N1082">
        <f t="shared" si="50"/>
        <v>0</v>
      </c>
    </row>
    <row r="1083" spans="1:14">
      <c r="A1083">
        <v>7508</v>
      </c>
      <c r="B1083" t="s">
        <v>1252</v>
      </c>
      <c r="C1083" t="s">
        <v>755</v>
      </c>
      <c r="D1083" t="s">
        <v>832</v>
      </c>
      <c r="E1083">
        <v>96495</v>
      </c>
      <c r="G1083" s="2">
        <v>0.43333333333333335</v>
      </c>
      <c r="H1083" s="2">
        <v>0.52083333333333337</v>
      </c>
      <c r="J1083">
        <v>1.9746242749292799</v>
      </c>
      <c r="K1083" t="s">
        <v>778</v>
      </c>
      <c r="L1083" t="str">
        <f t="shared" si="48"/>
        <v>37</v>
      </c>
      <c r="M1083">
        <f t="shared" si="49"/>
        <v>0</v>
      </c>
      <c r="N1083">
        <f t="shared" si="50"/>
        <v>0</v>
      </c>
    </row>
    <row r="1084" spans="1:14">
      <c r="A1084">
        <v>7498</v>
      </c>
      <c r="B1084" t="s">
        <v>1137</v>
      </c>
      <c r="C1084" t="s">
        <v>754</v>
      </c>
      <c r="D1084" t="s">
        <v>757</v>
      </c>
      <c r="E1084">
        <v>216241</v>
      </c>
      <c r="G1084" s="2">
        <v>0.21111111111111111</v>
      </c>
      <c r="H1084" s="2">
        <v>0.21736111111111112</v>
      </c>
      <c r="J1084">
        <v>0.14046888154276199</v>
      </c>
      <c r="K1084" t="s">
        <v>842</v>
      </c>
      <c r="L1084" t="str">
        <f t="shared" si="48"/>
        <v>33</v>
      </c>
      <c r="M1084">
        <f t="shared" si="49"/>
        <v>0</v>
      </c>
      <c r="N1084">
        <f t="shared" si="50"/>
        <v>0</v>
      </c>
    </row>
    <row r="1085" spans="1:14">
      <c r="A1085">
        <v>7498</v>
      </c>
      <c r="B1085" t="s">
        <v>1137</v>
      </c>
      <c r="C1085" t="s">
        <v>754</v>
      </c>
      <c r="D1085" t="s">
        <v>757</v>
      </c>
      <c r="E1085">
        <v>216241</v>
      </c>
      <c r="G1085" s="2">
        <v>0.21736111111111112</v>
      </c>
      <c r="H1085" s="2">
        <v>0.27083333333333331</v>
      </c>
      <c r="J1085">
        <v>1.20178931986585</v>
      </c>
      <c r="K1085" t="s">
        <v>843</v>
      </c>
      <c r="L1085" t="str">
        <f t="shared" si="48"/>
        <v>33</v>
      </c>
      <c r="M1085">
        <f t="shared" si="49"/>
        <v>0</v>
      </c>
      <c r="N1085">
        <f t="shared" si="50"/>
        <v>0</v>
      </c>
    </row>
    <row r="1086" spans="1:14">
      <c r="A1086">
        <v>7498</v>
      </c>
      <c r="B1086" t="s">
        <v>1137</v>
      </c>
      <c r="C1086" t="s">
        <v>754</v>
      </c>
      <c r="D1086" t="s">
        <v>757</v>
      </c>
      <c r="E1086">
        <v>216241</v>
      </c>
      <c r="G1086" s="2">
        <v>0.27083333333333331</v>
      </c>
      <c r="H1086" s="2">
        <v>0.39652777777777781</v>
      </c>
      <c r="J1086">
        <v>2.8249852843599998</v>
      </c>
      <c r="K1086" t="s">
        <v>842</v>
      </c>
      <c r="L1086" t="str">
        <f t="shared" si="48"/>
        <v>33</v>
      </c>
      <c r="M1086">
        <f t="shared" si="49"/>
        <v>0</v>
      </c>
      <c r="N1086">
        <f t="shared" si="50"/>
        <v>0</v>
      </c>
    </row>
    <row r="1087" spans="1:14">
      <c r="A1087">
        <v>7498</v>
      </c>
      <c r="B1087" t="s">
        <v>1137</v>
      </c>
      <c r="C1087" t="s">
        <v>754</v>
      </c>
      <c r="D1087" t="s">
        <v>757</v>
      </c>
      <c r="E1087">
        <v>216241</v>
      </c>
      <c r="G1087" s="2">
        <v>0.39652777777777781</v>
      </c>
      <c r="H1087" s="2">
        <v>0.54166666666666663</v>
      </c>
      <c r="J1087">
        <v>3.2619995824930399</v>
      </c>
      <c r="K1087" t="s">
        <v>759</v>
      </c>
      <c r="L1087" t="str">
        <f t="shared" si="48"/>
        <v>33</v>
      </c>
      <c r="M1087">
        <f t="shared" si="49"/>
        <v>0</v>
      </c>
      <c r="N1087">
        <f t="shared" si="50"/>
        <v>0</v>
      </c>
    </row>
    <row r="1088" spans="1:14">
      <c r="A1088">
        <v>7119</v>
      </c>
      <c r="B1088" t="s">
        <v>970</v>
      </c>
      <c r="C1088" t="s">
        <v>754</v>
      </c>
      <c r="D1088" t="s">
        <v>818</v>
      </c>
      <c r="E1088">
        <v>30347</v>
      </c>
      <c r="G1088" s="2">
        <v>0.29652777777777778</v>
      </c>
      <c r="H1088" s="2">
        <v>0.32569444444444445</v>
      </c>
      <c r="J1088">
        <v>0.655242760287016</v>
      </c>
      <c r="K1088" t="s">
        <v>1070</v>
      </c>
      <c r="L1088" t="str">
        <f t="shared" si="48"/>
        <v>33</v>
      </c>
      <c r="M1088">
        <f t="shared" si="49"/>
        <v>0</v>
      </c>
      <c r="N1088">
        <f t="shared" si="50"/>
        <v>0</v>
      </c>
    </row>
    <row r="1089" spans="1:14">
      <c r="A1089">
        <v>7119</v>
      </c>
      <c r="B1089" t="s">
        <v>970</v>
      </c>
      <c r="C1089" t="s">
        <v>754</v>
      </c>
      <c r="D1089" t="s">
        <v>818</v>
      </c>
      <c r="E1089">
        <v>30347</v>
      </c>
      <c r="G1089" s="2">
        <v>0.32569444444444445</v>
      </c>
      <c r="H1089" s="2">
        <v>0.40833333333333338</v>
      </c>
      <c r="J1089">
        <v>1.8565211541465401</v>
      </c>
      <c r="K1089" t="s">
        <v>759</v>
      </c>
      <c r="L1089" t="str">
        <f t="shared" si="48"/>
        <v>33</v>
      </c>
      <c r="M1089">
        <f t="shared" si="49"/>
        <v>0</v>
      </c>
      <c r="N1089">
        <f t="shared" si="50"/>
        <v>0</v>
      </c>
    </row>
    <row r="1090" spans="1:14">
      <c r="A1090">
        <v>7119</v>
      </c>
      <c r="B1090" t="s">
        <v>970</v>
      </c>
      <c r="C1090" t="s">
        <v>754</v>
      </c>
      <c r="D1090" t="s">
        <v>818</v>
      </c>
      <c r="E1090">
        <v>30347</v>
      </c>
      <c r="G1090" s="2">
        <v>0.40833333333333338</v>
      </c>
      <c r="H1090" s="2">
        <v>0.45624999999999999</v>
      </c>
      <c r="J1090">
        <v>1.0764702490429501</v>
      </c>
      <c r="K1090" t="s">
        <v>1070</v>
      </c>
      <c r="L1090" t="str">
        <f t="shared" ref="L1090:L1153" si="51">RIGHT(LEFT(K1090,4),2)</f>
        <v>33</v>
      </c>
      <c r="M1090">
        <f t="shared" ref="M1090:M1153" si="52">IF(I1090=0,0,I1090-H1090)+IF(F1090=0,0,G1090-F1090)</f>
        <v>0</v>
      </c>
      <c r="N1090">
        <f t="shared" ref="N1090:N1153" si="53">(M1090-INT(M1090))*24</f>
        <v>0</v>
      </c>
    </row>
    <row r="1091" spans="1:14">
      <c r="A1091">
        <v>7119</v>
      </c>
      <c r="B1091" t="s">
        <v>970</v>
      </c>
      <c r="C1091" t="s">
        <v>754</v>
      </c>
      <c r="D1091" t="s">
        <v>818</v>
      </c>
      <c r="E1091">
        <v>30347</v>
      </c>
      <c r="G1091" s="2">
        <v>0.45624999999999999</v>
      </c>
      <c r="H1091" s="2">
        <v>0.52847222222222223</v>
      </c>
      <c r="J1091">
        <v>1.6225058826154599</v>
      </c>
      <c r="K1091" t="s">
        <v>833</v>
      </c>
      <c r="L1091" t="str">
        <f t="shared" si="51"/>
        <v>33</v>
      </c>
      <c r="M1091">
        <f t="shared" si="52"/>
        <v>0</v>
      </c>
      <c r="N1091">
        <f t="shared" si="53"/>
        <v>0</v>
      </c>
    </row>
    <row r="1092" spans="1:14">
      <c r="A1092">
        <v>7119</v>
      </c>
      <c r="B1092" t="s">
        <v>970</v>
      </c>
      <c r="C1092" t="s">
        <v>754</v>
      </c>
      <c r="D1092" t="s">
        <v>818</v>
      </c>
      <c r="E1092">
        <v>30347</v>
      </c>
      <c r="G1092" s="2">
        <v>0.52847222222222223</v>
      </c>
      <c r="H1092" s="2">
        <v>0.54236111111111118</v>
      </c>
      <c r="J1092">
        <v>0.31202036204143602</v>
      </c>
      <c r="K1092" t="s">
        <v>799</v>
      </c>
      <c r="L1092" t="str">
        <f t="shared" si="51"/>
        <v>33</v>
      </c>
      <c r="M1092">
        <f t="shared" si="52"/>
        <v>0</v>
      </c>
      <c r="N1092">
        <f t="shared" si="53"/>
        <v>0</v>
      </c>
    </row>
    <row r="1093" spans="1:14">
      <c r="A1093">
        <v>7119</v>
      </c>
      <c r="B1093" t="s">
        <v>970</v>
      </c>
      <c r="C1093" t="s">
        <v>754</v>
      </c>
      <c r="D1093" t="s">
        <v>818</v>
      </c>
      <c r="E1093">
        <v>30347</v>
      </c>
      <c r="G1093" s="2">
        <v>0.54236111111111118</v>
      </c>
      <c r="H1093" s="2">
        <v>0.625</v>
      </c>
      <c r="J1093">
        <v>1.8565211541465401</v>
      </c>
      <c r="K1093" t="s">
        <v>798</v>
      </c>
      <c r="L1093" t="str">
        <f t="shared" si="51"/>
        <v>33</v>
      </c>
      <c r="M1093">
        <f t="shared" si="52"/>
        <v>0</v>
      </c>
      <c r="N1093">
        <f t="shared" si="53"/>
        <v>0</v>
      </c>
    </row>
    <row r="1094" spans="1:14">
      <c r="A1094">
        <v>7154</v>
      </c>
      <c r="B1094" t="s">
        <v>971</v>
      </c>
      <c r="C1094" t="s">
        <v>755</v>
      </c>
      <c r="D1094" t="s">
        <v>771</v>
      </c>
      <c r="E1094">
        <v>19976</v>
      </c>
      <c r="G1094" s="2">
        <v>6.458333333333334E-2</v>
      </c>
      <c r="H1094" s="2">
        <v>0.23749999999999999</v>
      </c>
      <c r="J1094">
        <v>3.9022336861697702</v>
      </c>
      <c r="K1094" t="s">
        <v>825</v>
      </c>
      <c r="L1094" t="str">
        <f t="shared" si="51"/>
        <v>33</v>
      </c>
      <c r="M1094">
        <f t="shared" si="52"/>
        <v>0</v>
      </c>
      <c r="N1094">
        <f t="shared" si="53"/>
        <v>0</v>
      </c>
    </row>
    <row r="1095" spans="1:14">
      <c r="A1095">
        <v>7154</v>
      </c>
      <c r="B1095" t="s">
        <v>971</v>
      </c>
      <c r="C1095" t="s">
        <v>755</v>
      </c>
      <c r="D1095" t="s">
        <v>771</v>
      </c>
      <c r="E1095">
        <v>19976</v>
      </c>
      <c r="G1095" s="2">
        <v>0.23749999999999999</v>
      </c>
      <c r="H1095" s="2">
        <v>0.37638888888888888</v>
      </c>
      <c r="J1095">
        <v>3.13432424591949</v>
      </c>
      <c r="K1095" t="s">
        <v>772</v>
      </c>
      <c r="L1095" t="str">
        <f t="shared" si="51"/>
        <v>33</v>
      </c>
      <c r="M1095">
        <f t="shared" si="52"/>
        <v>0</v>
      </c>
      <c r="N1095">
        <f t="shared" si="53"/>
        <v>0</v>
      </c>
    </row>
    <row r="1096" spans="1:14">
      <c r="A1096">
        <v>7154</v>
      </c>
      <c r="B1096" t="s">
        <v>971</v>
      </c>
      <c r="C1096" t="s">
        <v>755</v>
      </c>
      <c r="D1096" t="s">
        <v>771</v>
      </c>
      <c r="E1096">
        <v>19976</v>
      </c>
      <c r="G1096" s="2">
        <v>0.37638888888888888</v>
      </c>
      <c r="H1096" s="2">
        <v>0.41666666666666669</v>
      </c>
      <c r="J1096">
        <v>0.90895403131665498</v>
      </c>
      <c r="K1096" t="s">
        <v>759</v>
      </c>
      <c r="L1096" t="str">
        <f t="shared" si="51"/>
        <v>33</v>
      </c>
      <c r="M1096">
        <f t="shared" si="52"/>
        <v>0</v>
      </c>
      <c r="N1096">
        <f t="shared" si="53"/>
        <v>0</v>
      </c>
    </row>
    <row r="1097" spans="1:14">
      <c r="A1097">
        <v>7771</v>
      </c>
      <c r="B1097" t="s">
        <v>1253</v>
      </c>
      <c r="C1097" t="s">
        <v>755</v>
      </c>
      <c r="D1097" t="s">
        <v>918</v>
      </c>
      <c r="E1097">
        <v>430846</v>
      </c>
      <c r="G1097" s="2">
        <v>0.3840277777777778</v>
      </c>
      <c r="H1097" s="2">
        <v>0.5395833333333333</v>
      </c>
      <c r="J1097">
        <v>3.5060162749897801</v>
      </c>
      <c r="K1097" t="s">
        <v>759</v>
      </c>
      <c r="L1097" t="str">
        <f t="shared" si="51"/>
        <v>33</v>
      </c>
      <c r="M1097">
        <f t="shared" si="52"/>
        <v>0</v>
      </c>
      <c r="N1097">
        <f t="shared" si="53"/>
        <v>0</v>
      </c>
    </row>
    <row r="1098" spans="1:14">
      <c r="A1098">
        <v>7771</v>
      </c>
      <c r="B1098" t="s">
        <v>1253</v>
      </c>
      <c r="C1098" t="s">
        <v>755</v>
      </c>
      <c r="D1098" t="s">
        <v>918</v>
      </c>
      <c r="E1098">
        <v>430846</v>
      </c>
      <c r="G1098" s="2">
        <v>0.5395833333333333</v>
      </c>
      <c r="H1098" s="2">
        <v>0.69791666666666663</v>
      </c>
      <c r="J1098">
        <v>3.56862370847174</v>
      </c>
      <c r="K1098" t="s">
        <v>842</v>
      </c>
      <c r="L1098" t="str">
        <f t="shared" si="51"/>
        <v>33</v>
      </c>
      <c r="M1098">
        <f t="shared" si="52"/>
        <v>0</v>
      </c>
      <c r="N1098">
        <f t="shared" si="53"/>
        <v>0</v>
      </c>
    </row>
    <row r="1099" spans="1:14">
      <c r="A1099">
        <v>7771</v>
      </c>
      <c r="B1099" t="s">
        <v>1253</v>
      </c>
      <c r="C1099" t="s">
        <v>755</v>
      </c>
      <c r="D1099" t="s">
        <v>918</v>
      </c>
      <c r="E1099">
        <v>430846</v>
      </c>
      <c r="G1099" s="2">
        <v>0.69791666666666663</v>
      </c>
      <c r="H1099" s="2">
        <v>0.72916666666666663</v>
      </c>
      <c r="J1099">
        <v>0.70433362667205501</v>
      </c>
      <c r="K1099" t="s">
        <v>759</v>
      </c>
      <c r="L1099" t="str">
        <f t="shared" si="51"/>
        <v>33</v>
      </c>
      <c r="M1099">
        <f t="shared" si="52"/>
        <v>0</v>
      </c>
      <c r="N1099">
        <f t="shared" si="53"/>
        <v>0</v>
      </c>
    </row>
    <row r="1100" spans="1:14">
      <c r="A1100">
        <v>7124</v>
      </c>
      <c r="B1100" t="s">
        <v>1138</v>
      </c>
      <c r="C1100" t="s">
        <v>755</v>
      </c>
      <c r="D1100" t="s">
        <v>981</v>
      </c>
      <c r="E1100">
        <v>30349</v>
      </c>
      <c r="G1100" s="2">
        <v>0.29444444444444445</v>
      </c>
      <c r="H1100" s="2">
        <v>0.35625000000000001</v>
      </c>
      <c r="J1100">
        <v>1.48266071428569</v>
      </c>
      <c r="K1100" t="s">
        <v>801</v>
      </c>
      <c r="L1100" t="str">
        <f t="shared" si="51"/>
        <v>33</v>
      </c>
      <c r="M1100">
        <f t="shared" si="52"/>
        <v>0</v>
      </c>
      <c r="N1100">
        <f t="shared" si="53"/>
        <v>0</v>
      </c>
    </row>
    <row r="1101" spans="1:14">
      <c r="A1101">
        <v>7124</v>
      </c>
      <c r="B1101" t="s">
        <v>1138</v>
      </c>
      <c r="C1101" t="s">
        <v>755</v>
      </c>
      <c r="D1101" t="s">
        <v>981</v>
      </c>
      <c r="E1101">
        <v>30349</v>
      </c>
      <c r="G1101" s="2">
        <v>0.35625000000000001</v>
      </c>
      <c r="H1101" s="2">
        <v>0.35833333333333334</v>
      </c>
      <c r="J1101">
        <v>4.9977327447832301E-2</v>
      </c>
      <c r="K1101" t="s">
        <v>763</v>
      </c>
      <c r="L1101" t="str">
        <f t="shared" si="51"/>
        <v>33</v>
      </c>
      <c r="M1101">
        <f t="shared" si="52"/>
        <v>0</v>
      </c>
      <c r="N1101">
        <f t="shared" si="53"/>
        <v>0</v>
      </c>
    </row>
    <row r="1102" spans="1:14">
      <c r="A1102">
        <v>7124</v>
      </c>
      <c r="B1102" t="s">
        <v>1138</v>
      </c>
      <c r="C1102" t="s">
        <v>755</v>
      </c>
      <c r="D1102" t="s">
        <v>981</v>
      </c>
      <c r="E1102">
        <v>30349</v>
      </c>
      <c r="G1102" s="2">
        <v>0.35833333333333334</v>
      </c>
      <c r="H1102" s="2">
        <v>0.36319444444444443</v>
      </c>
      <c r="J1102">
        <v>0.116613764044942</v>
      </c>
      <c r="K1102" t="s">
        <v>833</v>
      </c>
      <c r="L1102" t="str">
        <f t="shared" si="51"/>
        <v>33</v>
      </c>
      <c r="M1102">
        <f t="shared" si="52"/>
        <v>0</v>
      </c>
      <c r="N1102">
        <f t="shared" si="53"/>
        <v>0</v>
      </c>
    </row>
    <row r="1103" spans="1:14">
      <c r="A1103">
        <v>7124</v>
      </c>
      <c r="B1103" t="s">
        <v>1138</v>
      </c>
      <c r="C1103" t="s">
        <v>755</v>
      </c>
      <c r="D1103" t="s">
        <v>981</v>
      </c>
      <c r="E1103">
        <v>30349</v>
      </c>
      <c r="G1103" s="2">
        <v>0.36319444444444443</v>
      </c>
      <c r="H1103" s="2">
        <v>0.43611111111111112</v>
      </c>
      <c r="J1103">
        <v>1.74920646067413</v>
      </c>
      <c r="K1103" t="s">
        <v>763</v>
      </c>
      <c r="L1103" t="str">
        <f t="shared" si="51"/>
        <v>33</v>
      </c>
      <c r="M1103">
        <f t="shared" si="52"/>
        <v>0</v>
      </c>
      <c r="N1103">
        <f t="shared" si="53"/>
        <v>0</v>
      </c>
    </row>
    <row r="1104" spans="1:14">
      <c r="A1104">
        <v>7124</v>
      </c>
      <c r="B1104" t="s">
        <v>1138</v>
      </c>
      <c r="C1104" t="s">
        <v>755</v>
      </c>
      <c r="D1104" t="s">
        <v>981</v>
      </c>
      <c r="E1104">
        <v>30349</v>
      </c>
      <c r="G1104" s="2">
        <v>0.43611111111111112</v>
      </c>
      <c r="H1104" s="2">
        <v>0.54166666666666663</v>
      </c>
      <c r="J1104">
        <v>2.5321845906901599</v>
      </c>
      <c r="K1104" t="s">
        <v>801</v>
      </c>
      <c r="L1104" t="str">
        <f t="shared" si="51"/>
        <v>33</v>
      </c>
      <c r="M1104">
        <f t="shared" si="52"/>
        <v>0</v>
      </c>
      <c r="N1104">
        <f t="shared" si="53"/>
        <v>0</v>
      </c>
    </row>
    <row r="1105" spans="1:14">
      <c r="A1105">
        <v>7443</v>
      </c>
      <c r="B1105" t="s">
        <v>1139</v>
      </c>
      <c r="C1105" t="s">
        <v>754</v>
      </c>
      <c r="D1105" t="s">
        <v>823</v>
      </c>
      <c r="E1105">
        <v>301247</v>
      </c>
      <c r="G1105" s="2">
        <v>0.58402777777777781</v>
      </c>
      <c r="H1105" s="2">
        <v>0.74791666666666667</v>
      </c>
      <c r="J1105">
        <v>3.9311419013565598</v>
      </c>
      <c r="K1105" t="s">
        <v>930</v>
      </c>
      <c r="L1105" t="str">
        <f t="shared" si="51"/>
        <v>33</v>
      </c>
      <c r="M1105">
        <f t="shared" si="52"/>
        <v>0</v>
      </c>
      <c r="N1105">
        <f t="shared" si="53"/>
        <v>0</v>
      </c>
    </row>
    <row r="1106" spans="1:14">
      <c r="A1106">
        <v>7443</v>
      </c>
      <c r="B1106" t="s">
        <v>1139</v>
      </c>
      <c r="C1106" t="s">
        <v>754</v>
      </c>
      <c r="D1106" t="s">
        <v>823</v>
      </c>
      <c r="E1106">
        <v>301247</v>
      </c>
      <c r="G1106" s="2">
        <v>0.74791666666666667</v>
      </c>
      <c r="H1106" s="2">
        <v>0.97916666666666663</v>
      </c>
      <c r="J1106">
        <v>5.5469078523378696</v>
      </c>
      <c r="K1106" t="s">
        <v>825</v>
      </c>
      <c r="L1106" t="str">
        <f t="shared" si="51"/>
        <v>33</v>
      </c>
      <c r="M1106">
        <f t="shared" si="52"/>
        <v>0</v>
      </c>
      <c r="N1106">
        <f t="shared" si="53"/>
        <v>0</v>
      </c>
    </row>
    <row r="1107" spans="1:14">
      <c r="A1107">
        <v>7115</v>
      </c>
      <c r="B1107" t="s">
        <v>1140</v>
      </c>
      <c r="C1107" t="s">
        <v>754</v>
      </c>
      <c r="D1107" t="s">
        <v>1141</v>
      </c>
      <c r="E1107">
        <v>30351</v>
      </c>
      <c r="G1107" s="2">
        <v>0.25138888888888888</v>
      </c>
      <c r="H1107" s="2">
        <v>0.42291666666666666</v>
      </c>
      <c r="J1107">
        <v>3.9146876403634301</v>
      </c>
      <c r="K1107" t="s">
        <v>1070</v>
      </c>
      <c r="L1107" t="str">
        <f t="shared" si="51"/>
        <v>33</v>
      </c>
      <c r="M1107">
        <f t="shared" si="52"/>
        <v>0</v>
      </c>
      <c r="N1107">
        <f t="shared" si="53"/>
        <v>0</v>
      </c>
    </row>
    <row r="1108" spans="1:14">
      <c r="A1108">
        <v>7115</v>
      </c>
      <c r="B1108" t="s">
        <v>1140</v>
      </c>
      <c r="C1108" t="s">
        <v>754</v>
      </c>
      <c r="D1108" t="s">
        <v>1141</v>
      </c>
      <c r="E1108">
        <v>30351</v>
      </c>
      <c r="G1108" s="2">
        <v>0.42291666666666666</v>
      </c>
      <c r="H1108" s="2">
        <v>0.50347222222222221</v>
      </c>
      <c r="J1108">
        <v>1.8384767865674301</v>
      </c>
      <c r="K1108" t="s">
        <v>1081</v>
      </c>
      <c r="L1108" t="str">
        <f t="shared" si="51"/>
        <v>33</v>
      </c>
      <c r="M1108">
        <f t="shared" si="52"/>
        <v>0</v>
      </c>
      <c r="N1108">
        <f t="shared" si="53"/>
        <v>0</v>
      </c>
    </row>
    <row r="1109" spans="1:14">
      <c r="A1109">
        <v>7115</v>
      </c>
      <c r="B1109" t="s">
        <v>1140</v>
      </c>
      <c r="C1109" t="s">
        <v>754</v>
      </c>
      <c r="D1109" t="s">
        <v>1141</v>
      </c>
      <c r="E1109">
        <v>30351</v>
      </c>
      <c r="G1109" s="2">
        <v>0.50347222222222221</v>
      </c>
      <c r="H1109" s="2">
        <v>0.60486111111111118</v>
      </c>
      <c r="J1109">
        <v>2.3139449210245302</v>
      </c>
      <c r="K1109" t="s">
        <v>858</v>
      </c>
      <c r="L1109" t="str">
        <f t="shared" si="51"/>
        <v>33</v>
      </c>
      <c r="M1109">
        <f t="shared" si="52"/>
        <v>0</v>
      </c>
      <c r="N1109">
        <f t="shared" si="53"/>
        <v>0</v>
      </c>
    </row>
    <row r="1110" spans="1:14">
      <c r="A1110">
        <v>7115</v>
      </c>
      <c r="B1110" t="s">
        <v>1140</v>
      </c>
      <c r="C1110" t="s">
        <v>754</v>
      </c>
      <c r="D1110" t="s">
        <v>1141</v>
      </c>
      <c r="E1110">
        <v>30351</v>
      </c>
      <c r="G1110" s="2">
        <v>0.60486111111111118</v>
      </c>
      <c r="H1110" s="2">
        <v>0.66666666666666663</v>
      </c>
      <c r="J1110">
        <v>1.4105554655560399</v>
      </c>
      <c r="K1110" t="s">
        <v>763</v>
      </c>
      <c r="L1110" t="str">
        <f t="shared" si="51"/>
        <v>33</v>
      </c>
      <c r="M1110">
        <f t="shared" si="52"/>
        <v>0</v>
      </c>
      <c r="N1110">
        <f t="shared" si="53"/>
        <v>0</v>
      </c>
    </row>
    <row r="1111" spans="1:14">
      <c r="A1111">
        <v>7486</v>
      </c>
      <c r="B1111" t="s">
        <v>972</v>
      </c>
      <c r="C1111" t="s">
        <v>755</v>
      </c>
      <c r="D1111" t="s">
        <v>818</v>
      </c>
      <c r="E1111">
        <v>84714</v>
      </c>
      <c r="G1111" s="2">
        <v>0.1013888888888889</v>
      </c>
      <c r="H1111" s="2">
        <v>0.18888888888888888</v>
      </c>
      <c r="J1111">
        <v>1.9730786691364699</v>
      </c>
      <c r="K1111" t="s">
        <v>799</v>
      </c>
      <c r="L1111" t="str">
        <f t="shared" si="51"/>
        <v>33</v>
      </c>
      <c r="M1111">
        <f t="shared" si="52"/>
        <v>0</v>
      </c>
      <c r="N1111">
        <f t="shared" si="53"/>
        <v>0</v>
      </c>
    </row>
    <row r="1112" spans="1:14">
      <c r="A1112">
        <v>7486</v>
      </c>
      <c r="B1112" t="s">
        <v>972</v>
      </c>
      <c r="C1112" t="s">
        <v>755</v>
      </c>
      <c r="D1112" t="s">
        <v>818</v>
      </c>
      <c r="E1112">
        <v>84714</v>
      </c>
      <c r="G1112" s="2">
        <v>0.18888888888888888</v>
      </c>
      <c r="H1112" s="2">
        <v>0.19166666666666665</v>
      </c>
      <c r="J1112">
        <v>6.2637418067824593E-2</v>
      </c>
      <c r="K1112" t="s">
        <v>812</v>
      </c>
      <c r="L1112" t="str">
        <f t="shared" si="51"/>
        <v>33</v>
      </c>
      <c r="M1112">
        <f t="shared" si="52"/>
        <v>0</v>
      </c>
      <c r="N1112">
        <f t="shared" si="53"/>
        <v>0</v>
      </c>
    </row>
    <row r="1113" spans="1:14">
      <c r="A1113">
        <v>7486</v>
      </c>
      <c r="B1113" t="s">
        <v>972</v>
      </c>
      <c r="C1113" t="s">
        <v>755</v>
      </c>
      <c r="D1113" t="s">
        <v>818</v>
      </c>
      <c r="E1113">
        <v>84714</v>
      </c>
      <c r="G1113" s="2">
        <v>0.19166666666666665</v>
      </c>
      <c r="H1113" s="2">
        <v>0.19444444444444445</v>
      </c>
      <c r="J1113">
        <v>6.2637418067824593E-2</v>
      </c>
      <c r="K1113" t="s">
        <v>806</v>
      </c>
      <c r="L1113" t="str">
        <f t="shared" si="51"/>
        <v>33</v>
      </c>
      <c r="M1113">
        <f t="shared" si="52"/>
        <v>0</v>
      </c>
      <c r="N1113">
        <f t="shared" si="53"/>
        <v>0</v>
      </c>
    </row>
    <row r="1114" spans="1:14">
      <c r="A1114">
        <v>7486</v>
      </c>
      <c r="B1114" t="s">
        <v>972</v>
      </c>
      <c r="C1114" t="s">
        <v>755</v>
      </c>
      <c r="D1114" t="s">
        <v>818</v>
      </c>
      <c r="E1114">
        <v>84714</v>
      </c>
      <c r="G1114" s="2">
        <v>0.19444444444444445</v>
      </c>
      <c r="H1114" s="2">
        <v>0.30138888888888887</v>
      </c>
      <c r="J1114">
        <v>2.4115405956112501</v>
      </c>
      <c r="K1114" t="s">
        <v>798</v>
      </c>
      <c r="L1114" t="str">
        <f t="shared" si="51"/>
        <v>33</v>
      </c>
      <c r="M1114">
        <f t="shared" si="52"/>
        <v>0</v>
      </c>
      <c r="N1114">
        <f t="shared" si="53"/>
        <v>0</v>
      </c>
    </row>
    <row r="1115" spans="1:14">
      <c r="A1115">
        <v>7486</v>
      </c>
      <c r="B1115" t="s">
        <v>972</v>
      </c>
      <c r="C1115" t="s">
        <v>755</v>
      </c>
      <c r="D1115" t="s">
        <v>818</v>
      </c>
      <c r="E1115">
        <v>84714</v>
      </c>
      <c r="G1115" s="2">
        <v>0.30138888888888887</v>
      </c>
      <c r="H1115" s="2">
        <v>0.4375</v>
      </c>
      <c r="J1115">
        <v>3.0692334853233998</v>
      </c>
      <c r="K1115" t="s">
        <v>759</v>
      </c>
      <c r="L1115" t="str">
        <f t="shared" si="51"/>
        <v>33</v>
      </c>
      <c r="M1115">
        <f t="shared" si="52"/>
        <v>0</v>
      </c>
      <c r="N1115">
        <f t="shared" si="53"/>
        <v>0</v>
      </c>
    </row>
    <row r="1116" spans="1:14">
      <c r="A1116">
        <v>7847</v>
      </c>
      <c r="B1116" t="s">
        <v>1254</v>
      </c>
      <c r="C1116" t="s">
        <v>754</v>
      </c>
      <c r="D1116" t="s">
        <v>823</v>
      </c>
      <c r="E1116">
        <v>518519</v>
      </c>
      <c r="G1116" s="2">
        <v>0.59305555555555556</v>
      </c>
      <c r="H1116" s="2">
        <v>0.65694444444444444</v>
      </c>
      <c r="J1116">
        <v>1.5324836979305501</v>
      </c>
      <c r="K1116" t="s">
        <v>817</v>
      </c>
      <c r="L1116" t="str">
        <f t="shared" si="51"/>
        <v>46</v>
      </c>
      <c r="M1116">
        <f t="shared" si="52"/>
        <v>0</v>
      </c>
      <c r="N1116">
        <f t="shared" si="53"/>
        <v>0</v>
      </c>
    </row>
    <row r="1117" spans="1:14">
      <c r="A1117">
        <v>7847</v>
      </c>
      <c r="B1117" t="s">
        <v>1254</v>
      </c>
      <c r="C1117" t="s">
        <v>754</v>
      </c>
      <c r="D1117" t="s">
        <v>823</v>
      </c>
      <c r="E1117">
        <v>518519</v>
      </c>
      <c r="G1117" s="2">
        <v>0.65694444444444444</v>
      </c>
      <c r="H1117" s="2">
        <v>0.68402777777777779</v>
      </c>
      <c r="J1117">
        <v>0.64963982847056201</v>
      </c>
      <c r="K1117" t="s">
        <v>816</v>
      </c>
      <c r="L1117" t="str">
        <f t="shared" si="51"/>
        <v>46</v>
      </c>
      <c r="M1117">
        <f t="shared" si="52"/>
        <v>0</v>
      </c>
      <c r="N1117">
        <f t="shared" si="53"/>
        <v>0</v>
      </c>
    </row>
    <row r="1118" spans="1:14">
      <c r="A1118">
        <v>7847</v>
      </c>
      <c r="B1118" t="s">
        <v>1254</v>
      </c>
      <c r="C1118" t="s">
        <v>754</v>
      </c>
      <c r="D1118" t="s">
        <v>823</v>
      </c>
      <c r="E1118">
        <v>518519</v>
      </c>
      <c r="G1118" s="2">
        <v>0.68402777777777779</v>
      </c>
      <c r="H1118" s="2">
        <v>0.74930555555555556</v>
      </c>
      <c r="J1118">
        <v>1.5657985609290499</v>
      </c>
      <c r="K1118" t="s">
        <v>817</v>
      </c>
      <c r="L1118" t="str">
        <f t="shared" si="51"/>
        <v>46</v>
      </c>
      <c r="M1118">
        <f t="shared" si="52"/>
        <v>0</v>
      </c>
      <c r="N1118">
        <f t="shared" si="53"/>
        <v>0</v>
      </c>
    </row>
    <row r="1119" spans="1:14">
      <c r="A1119">
        <v>7847</v>
      </c>
      <c r="B1119" t="s">
        <v>1254</v>
      </c>
      <c r="C1119" t="s">
        <v>754</v>
      </c>
      <c r="D1119" t="s">
        <v>823</v>
      </c>
      <c r="E1119">
        <v>518519</v>
      </c>
      <c r="G1119" s="2">
        <v>0.74930555555555556</v>
      </c>
      <c r="H1119" s="2">
        <v>0.75486111111111109</v>
      </c>
      <c r="J1119">
        <v>0.133259451993961</v>
      </c>
      <c r="K1119" t="s">
        <v>798</v>
      </c>
      <c r="L1119" t="str">
        <f t="shared" si="51"/>
        <v>33</v>
      </c>
      <c r="M1119">
        <f t="shared" si="52"/>
        <v>0</v>
      </c>
      <c r="N1119">
        <f t="shared" si="53"/>
        <v>0</v>
      </c>
    </row>
    <row r="1120" spans="1:14">
      <c r="A1120">
        <v>7847</v>
      </c>
      <c r="B1120" t="s">
        <v>1254</v>
      </c>
      <c r="C1120" t="s">
        <v>754</v>
      </c>
      <c r="D1120" t="s">
        <v>823</v>
      </c>
      <c r="E1120">
        <v>518519</v>
      </c>
      <c r="G1120" s="2">
        <v>0.75486111111111109</v>
      </c>
      <c r="H1120" s="2">
        <v>0.85763888888888884</v>
      </c>
      <c r="J1120">
        <v>2.46529986188829</v>
      </c>
      <c r="K1120" t="s">
        <v>767</v>
      </c>
      <c r="L1120" t="str">
        <f t="shared" si="51"/>
        <v>37</v>
      </c>
      <c r="M1120">
        <f t="shared" si="52"/>
        <v>0</v>
      </c>
      <c r="N1120">
        <f t="shared" si="53"/>
        <v>0</v>
      </c>
    </row>
    <row r="1121" spans="1:14">
      <c r="A1121">
        <v>7847</v>
      </c>
      <c r="B1121" t="s">
        <v>1254</v>
      </c>
      <c r="C1121" t="s">
        <v>754</v>
      </c>
      <c r="D1121" t="s">
        <v>823</v>
      </c>
      <c r="E1121">
        <v>518519</v>
      </c>
      <c r="G1121" s="2">
        <v>0.85763888888888884</v>
      </c>
      <c r="H1121" s="2">
        <v>0.98263888888888884</v>
      </c>
      <c r="J1121">
        <v>2.9983376698641302</v>
      </c>
      <c r="K1121" t="s">
        <v>827</v>
      </c>
      <c r="L1121" t="str">
        <f t="shared" si="51"/>
        <v>37</v>
      </c>
      <c r="M1121">
        <f t="shared" si="52"/>
        <v>0</v>
      </c>
      <c r="N1121">
        <f t="shared" si="53"/>
        <v>0</v>
      </c>
    </row>
    <row r="1122" spans="1:14">
      <c r="A1122">
        <v>7592</v>
      </c>
      <c r="B1122" t="s">
        <v>973</v>
      </c>
      <c r="C1122" t="s">
        <v>755</v>
      </c>
      <c r="D1122" t="s">
        <v>757</v>
      </c>
      <c r="E1122">
        <v>152207</v>
      </c>
      <c r="G1122" s="2">
        <v>0.25694444444444448</v>
      </c>
      <c r="H1122" s="2">
        <v>0.36875000000000002</v>
      </c>
      <c r="J1122">
        <v>2.49905114643972</v>
      </c>
      <c r="K1122" t="s">
        <v>760</v>
      </c>
      <c r="L1122" t="str">
        <f t="shared" si="51"/>
        <v>33</v>
      </c>
      <c r="M1122">
        <f t="shared" si="52"/>
        <v>0</v>
      </c>
      <c r="N1122">
        <f t="shared" si="53"/>
        <v>0</v>
      </c>
    </row>
    <row r="1123" spans="1:14">
      <c r="A1123">
        <v>7592</v>
      </c>
      <c r="B1123" t="s">
        <v>973</v>
      </c>
      <c r="C1123" t="s">
        <v>755</v>
      </c>
      <c r="D1123" t="s">
        <v>757</v>
      </c>
      <c r="E1123">
        <v>152207</v>
      </c>
      <c r="G1123" s="2">
        <v>0.36875000000000002</v>
      </c>
      <c r="H1123" s="2">
        <v>0.5625</v>
      </c>
      <c r="J1123">
        <v>4.3306538500415197</v>
      </c>
      <c r="K1123" t="s">
        <v>784</v>
      </c>
      <c r="L1123" t="str">
        <f t="shared" si="51"/>
        <v>33</v>
      </c>
      <c r="M1123">
        <f t="shared" si="52"/>
        <v>0</v>
      </c>
      <c r="N1123">
        <f t="shared" si="53"/>
        <v>0</v>
      </c>
    </row>
    <row r="1124" spans="1:14">
      <c r="A1124">
        <v>7401</v>
      </c>
      <c r="B1124" t="s">
        <v>1142</v>
      </c>
      <c r="C1124" t="s">
        <v>754</v>
      </c>
      <c r="D1124" t="s">
        <v>802</v>
      </c>
      <c r="E1124">
        <v>47444</v>
      </c>
      <c r="G1124" s="2">
        <v>0.50277777777777777</v>
      </c>
      <c r="H1124" s="2">
        <v>0.65763888888888888</v>
      </c>
      <c r="J1124">
        <v>3.7146001399998898</v>
      </c>
      <c r="K1124" t="s">
        <v>869</v>
      </c>
      <c r="L1124" t="str">
        <f t="shared" si="51"/>
        <v>37</v>
      </c>
      <c r="M1124">
        <f t="shared" si="52"/>
        <v>0</v>
      </c>
      <c r="N1124">
        <f t="shared" si="53"/>
        <v>0</v>
      </c>
    </row>
    <row r="1125" spans="1:14">
      <c r="A1125">
        <v>7401</v>
      </c>
      <c r="B1125" t="s">
        <v>1142</v>
      </c>
      <c r="C1125" t="s">
        <v>754</v>
      </c>
      <c r="D1125" t="s">
        <v>802</v>
      </c>
      <c r="E1125">
        <v>47444</v>
      </c>
      <c r="G1125" s="2">
        <v>0.65763888888888888</v>
      </c>
      <c r="H1125" s="2">
        <v>0.65833333333333333</v>
      </c>
      <c r="J1125">
        <v>1.66573997309412E-2</v>
      </c>
      <c r="K1125" t="s">
        <v>779</v>
      </c>
      <c r="L1125" t="str">
        <f t="shared" si="51"/>
        <v>37</v>
      </c>
      <c r="M1125">
        <f t="shared" si="52"/>
        <v>0</v>
      </c>
      <c r="N1125">
        <f t="shared" si="53"/>
        <v>0</v>
      </c>
    </row>
    <row r="1126" spans="1:14">
      <c r="A1126">
        <v>7401</v>
      </c>
      <c r="B1126" t="s">
        <v>1142</v>
      </c>
      <c r="C1126" t="s">
        <v>754</v>
      </c>
      <c r="D1126" t="s">
        <v>802</v>
      </c>
      <c r="E1126">
        <v>47444</v>
      </c>
      <c r="G1126" s="2">
        <v>0.65833333333333333</v>
      </c>
      <c r="H1126" s="2">
        <v>0.75555555555555554</v>
      </c>
      <c r="J1126">
        <v>2.3320359623317599</v>
      </c>
      <c r="K1126" t="s">
        <v>780</v>
      </c>
      <c r="L1126" t="str">
        <f t="shared" si="51"/>
        <v>46</v>
      </c>
      <c r="M1126">
        <f t="shared" si="52"/>
        <v>0</v>
      </c>
      <c r="N1126">
        <f t="shared" si="53"/>
        <v>0</v>
      </c>
    </row>
    <row r="1127" spans="1:14">
      <c r="A1127">
        <v>7401</v>
      </c>
      <c r="B1127" t="s">
        <v>1142</v>
      </c>
      <c r="C1127" t="s">
        <v>754</v>
      </c>
      <c r="D1127" t="s">
        <v>802</v>
      </c>
      <c r="E1127">
        <v>47444</v>
      </c>
      <c r="G1127" s="2">
        <v>0.75555555555555554</v>
      </c>
      <c r="H1127" s="2">
        <v>0.83472222222222225</v>
      </c>
      <c r="J1127">
        <v>1.89894356932729</v>
      </c>
      <c r="K1127" t="s">
        <v>779</v>
      </c>
      <c r="L1127" t="str">
        <f t="shared" si="51"/>
        <v>37</v>
      </c>
      <c r="M1127">
        <f t="shared" si="52"/>
        <v>0</v>
      </c>
      <c r="N1127">
        <f t="shared" si="53"/>
        <v>0</v>
      </c>
    </row>
    <row r="1128" spans="1:14">
      <c r="A1128">
        <v>7401</v>
      </c>
      <c r="B1128" t="s">
        <v>1142</v>
      </c>
      <c r="C1128" t="s">
        <v>754</v>
      </c>
      <c r="D1128" t="s">
        <v>802</v>
      </c>
      <c r="E1128">
        <v>47444</v>
      </c>
      <c r="G1128" s="2">
        <v>0.83472222222222225</v>
      </c>
      <c r="H1128" s="2">
        <v>0.87638888888888899</v>
      </c>
      <c r="J1128">
        <v>0.99944398385647304</v>
      </c>
      <c r="K1128" t="s">
        <v>780</v>
      </c>
      <c r="L1128" t="str">
        <f t="shared" si="51"/>
        <v>46</v>
      </c>
      <c r="M1128">
        <f t="shared" si="52"/>
        <v>0</v>
      </c>
      <c r="N1128">
        <f t="shared" si="53"/>
        <v>0</v>
      </c>
    </row>
    <row r="1129" spans="1:14">
      <c r="A1129">
        <v>7401</v>
      </c>
      <c r="B1129" t="s">
        <v>1142</v>
      </c>
      <c r="C1129" t="s">
        <v>754</v>
      </c>
      <c r="D1129" t="s">
        <v>802</v>
      </c>
      <c r="E1129">
        <v>47444</v>
      </c>
      <c r="G1129" s="2">
        <v>0.87638888888888899</v>
      </c>
      <c r="H1129" s="2">
        <v>0.89583333333333337</v>
      </c>
      <c r="J1129">
        <v>0.46640719246635398</v>
      </c>
      <c r="K1129" t="s">
        <v>779</v>
      </c>
      <c r="L1129" t="str">
        <f t="shared" si="51"/>
        <v>37</v>
      </c>
      <c r="M1129">
        <f t="shared" si="52"/>
        <v>0</v>
      </c>
      <c r="N1129">
        <f t="shared" si="53"/>
        <v>0</v>
      </c>
    </row>
    <row r="1130" spans="1:14">
      <c r="A1130">
        <v>7156</v>
      </c>
      <c r="B1130" t="s">
        <v>1143</v>
      </c>
      <c r="C1130" t="s">
        <v>754</v>
      </c>
      <c r="D1130" t="s">
        <v>823</v>
      </c>
      <c r="E1130">
        <v>19755</v>
      </c>
      <c r="G1130" s="2">
        <v>0.58472222222222225</v>
      </c>
      <c r="H1130" s="2">
        <v>0.63888888888888895</v>
      </c>
      <c r="J1130">
        <v>1.3015631704017001</v>
      </c>
      <c r="K1130" t="s">
        <v>1016</v>
      </c>
      <c r="L1130" t="str">
        <f t="shared" si="51"/>
        <v>37</v>
      </c>
      <c r="M1130">
        <f t="shared" si="52"/>
        <v>0</v>
      </c>
      <c r="N1130">
        <f t="shared" si="53"/>
        <v>0</v>
      </c>
    </row>
    <row r="1131" spans="1:14">
      <c r="A1131">
        <v>7156</v>
      </c>
      <c r="B1131" t="s">
        <v>1143</v>
      </c>
      <c r="C1131" t="s">
        <v>754</v>
      </c>
      <c r="D1131" t="s">
        <v>823</v>
      </c>
      <c r="E1131">
        <v>19755</v>
      </c>
      <c r="G1131" s="2">
        <v>0.63888888888888895</v>
      </c>
      <c r="H1131" s="2">
        <v>0.7</v>
      </c>
      <c r="J1131">
        <v>1.46843024353012</v>
      </c>
      <c r="K1131" t="s">
        <v>778</v>
      </c>
      <c r="L1131" t="str">
        <f t="shared" si="51"/>
        <v>37</v>
      </c>
      <c r="M1131">
        <f t="shared" si="52"/>
        <v>0</v>
      </c>
      <c r="N1131">
        <f t="shared" si="53"/>
        <v>0</v>
      </c>
    </row>
    <row r="1132" spans="1:14">
      <c r="A1132">
        <v>7156</v>
      </c>
      <c r="B1132" t="s">
        <v>1143</v>
      </c>
      <c r="C1132" t="s">
        <v>754</v>
      </c>
      <c r="D1132" t="s">
        <v>823</v>
      </c>
      <c r="E1132">
        <v>19755</v>
      </c>
      <c r="G1132" s="2">
        <v>0.7</v>
      </c>
      <c r="H1132" s="2">
        <v>0.71319444444444446</v>
      </c>
      <c r="J1132">
        <v>0.317047438944004</v>
      </c>
      <c r="K1132" t="s">
        <v>1016</v>
      </c>
      <c r="L1132" t="str">
        <f t="shared" si="51"/>
        <v>37</v>
      </c>
      <c r="M1132">
        <f t="shared" si="52"/>
        <v>0</v>
      </c>
      <c r="N1132">
        <f t="shared" si="53"/>
        <v>0</v>
      </c>
    </row>
    <row r="1133" spans="1:14">
      <c r="A1133">
        <v>7156</v>
      </c>
      <c r="B1133" t="s">
        <v>1143</v>
      </c>
      <c r="C1133" t="s">
        <v>754</v>
      </c>
      <c r="D1133" t="s">
        <v>823</v>
      </c>
      <c r="E1133">
        <v>19755</v>
      </c>
      <c r="G1133" s="2">
        <v>0.71319444444444446</v>
      </c>
      <c r="H1133" s="2">
        <v>0.71666666666666667</v>
      </c>
      <c r="J1133">
        <v>8.34335365642115E-2</v>
      </c>
      <c r="K1133" t="s">
        <v>798</v>
      </c>
      <c r="L1133" t="str">
        <f t="shared" si="51"/>
        <v>33</v>
      </c>
      <c r="M1133">
        <f t="shared" si="52"/>
        <v>0</v>
      </c>
      <c r="N1133">
        <f t="shared" si="53"/>
        <v>0</v>
      </c>
    </row>
    <row r="1134" spans="1:14">
      <c r="A1134">
        <v>7156</v>
      </c>
      <c r="B1134" t="s">
        <v>1143</v>
      </c>
      <c r="C1134" t="s">
        <v>754</v>
      </c>
      <c r="D1134" t="s">
        <v>823</v>
      </c>
      <c r="E1134">
        <v>19755</v>
      </c>
      <c r="G1134" s="2">
        <v>0.71666666666666667</v>
      </c>
      <c r="H1134" s="2">
        <v>0.97916666666666663</v>
      </c>
      <c r="J1134">
        <v>6.3075753642543901</v>
      </c>
      <c r="K1134" t="s">
        <v>827</v>
      </c>
      <c r="L1134" t="str">
        <f t="shared" si="51"/>
        <v>37</v>
      </c>
      <c r="M1134">
        <f t="shared" si="52"/>
        <v>0</v>
      </c>
      <c r="N1134">
        <f t="shared" si="53"/>
        <v>0</v>
      </c>
    </row>
    <row r="1135" spans="1:14">
      <c r="A1135">
        <v>7337</v>
      </c>
      <c r="B1135" t="s">
        <v>1144</v>
      </c>
      <c r="C1135" t="s">
        <v>754</v>
      </c>
      <c r="D1135" t="s">
        <v>1145</v>
      </c>
      <c r="E1135">
        <v>37674</v>
      </c>
      <c r="G1135" s="2">
        <v>6.25E-2</v>
      </c>
      <c r="H1135" s="2">
        <v>0.22013888888888888</v>
      </c>
      <c r="J1135">
        <v>3.5941666666666601</v>
      </c>
      <c r="K1135" t="s">
        <v>869</v>
      </c>
      <c r="L1135" t="str">
        <f t="shared" si="51"/>
        <v>37</v>
      </c>
      <c r="M1135">
        <f t="shared" si="52"/>
        <v>0</v>
      </c>
      <c r="N1135">
        <f t="shared" si="53"/>
        <v>0</v>
      </c>
    </row>
    <row r="1136" spans="1:14">
      <c r="A1136">
        <v>7337</v>
      </c>
      <c r="B1136" t="s">
        <v>1144</v>
      </c>
      <c r="C1136" t="s">
        <v>754</v>
      </c>
      <c r="D1136" t="s">
        <v>1145</v>
      </c>
      <c r="E1136">
        <v>37674</v>
      </c>
      <c r="G1136" s="2">
        <v>0.22013888888888888</v>
      </c>
      <c r="H1136" s="2">
        <v>0.47916666666666669</v>
      </c>
      <c r="J1136">
        <v>5.9058333333333302</v>
      </c>
      <c r="K1136" t="s">
        <v>779</v>
      </c>
      <c r="L1136" t="str">
        <f t="shared" si="51"/>
        <v>37</v>
      </c>
      <c r="M1136">
        <f t="shared" si="52"/>
        <v>0</v>
      </c>
      <c r="N1136">
        <f t="shared" si="53"/>
        <v>0</v>
      </c>
    </row>
    <row r="1137" spans="1:14">
      <c r="A1137">
        <v>4135</v>
      </c>
      <c r="B1137" t="s">
        <v>1255</v>
      </c>
      <c r="C1137" t="s">
        <v>756</v>
      </c>
      <c r="E1137">
        <v>924432</v>
      </c>
      <c r="G1137" s="2">
        <v>0.22013888888888888</v>
      </c>
      <c r="H1137" s="2">
        <v>0.35138888888888892</v>
      </c>
      <c r="J1137">
        <v>3.1188333333333298</v>
      </c>
      <c r="K1137" t="s">
        <v>759</v>
      </c>
      <c r="L1137" t="str">
        <f t="shared" si="51"/>
        <v>33</v>
      </c>
      <c r="M1137">
        <f t="shared" si="52"/>
        <v>0</v>
      </c>
      <c r="N1137">
        <f t="shared" si="53"/>
        <v>0</v>
      </c>
    </row>
    <row r="1138" spans="1:14">
      <c r="A1138">
        <v>4125</v>
      </c>
      <c r="B1138" t="s">
        <v>974</v>
      </c>
      <c r="C1138" t="s">
        <v>756</v>
      </c>
      <c r="E1138">
        <v>918570</v>
      </c>
      <c r="G1138" s="2">
        <v>0.22777777777777777</v>
      </c>
      <c r="H1138" s="2">
        <v>0.29236111111111113</v>
      </c>
      <c r="J1138">
        <v>1.4496367134463399</v>
      </c>
      <c r="K1138" t="s">
        <v>759</v>
      </c>
      <c r="L1138" t="str">
        <f t="shared" si="51"/>
        <v>33</v>
      </c>
      <c r="M1138">
        <f t="shared" si="52"/>
        <v>0</v>
      </c>
      <c r="N1138">
        <f t="shared" si="53"/>
        <v>0</v>
      </c>
    </row>
    <row r="1139" spans="1:14">
      <c r="A1139">
        <v>4125</v>
      </c>
      <c r="B1139" t="s">
        <v>974</v>
      </c>
      <c r="C1139" t="s">
        <v>756</v>
      </c>
      <c r="E1139">
        <v>918570</v>
      </c>
      <c r="G1139" s="2">
        <v>0.29236111111111113</v>
      </c>
      <c r="H1139" s="2">
        <v>0.3034722222222222</v>
      </c>
      <c r="J1139">
        <v>0.24939986467893999</v>
      </c>
      <c r="K1139" t="s">
        <v>1070</v>
      </c>
      <c r="L1139" t="str">
        <f t="shared" si="51"/>
        <v>33</v>
      </c>
      <c r="M1139">
        <f t="shared" si="52"/>
        <v>0</v>
      </c>
      <c r="N1139">
        <f t="shared" si="53"/>
        <v>0</v>
      </c>
    </row>
    <row r="1140" spans="1:14">
      <c r="A1140">
        <v>4125</v>
      </c>
      <c r="B1140" t="s">
        <v>974</v>
      </c>
      <c r="C1140" t="s">
        <v>756</v>
      </c>
      <c r="E1140">
        <v>918570</v>
      </c>
      <c r="G1140" s="2">
        <v>0.3034722222222222</v>
      </c>
      <c r="H1140" s="2">
        <v>0.30902777777777779</v>
      </c>
      <c r="J1140">
        <v>0.12469993233946899</v>
      </c>
      <c r="K1140" t="s">
        <v>759</v>
      </c>
      <c r="L1140" t="str">
        <f t="shared" si="51"/>
        <v>33</v>
      </c>
      <c r="M1140">
        <f t="shared" si="52"/>
        <v>0</v>
      </c>
      <c r="N1140">
        <f t="shared" si="53"/>
        <v>0</v>
      </c>
    </row>
    <row r="1141" spans="1:14">
      <c r="A1141">
        <v>4125</v>
      </c>
      <c r="B1141" t="s">
        <v>974</v>
      </c>
      <c r="C1141" t="s">
        <v>756</v>
      </c>
      <c r="E1141">
        <v>918570</v>
      </c>
      <c r="G1141" s="2">
        <v>0.30902777777777779</v>
      </c>
      <c r="H1141" s="2">
        <v>0.31111111111111112</v>
      </c>
      <c r="J1141">
        <v>4.67624746273013E-2</v>
      </c>
      <c r="K1141" t="s">
        <v>1070</v>
      </c>
      <c r="L1141" t="str">
        <f t="shared" si="51"/>
        <v>33</v>
      </c>
      <c r="M1141">
        <f t="shared" si="52"/>
        <v>0</v>
      </c>
      <c r="N1141">
        <f t="shared" si="53"/>
        <v>0</v>
      </c>
    </row>
    <row r="1142" spans="1:14">
      <c r="A1142">
        <v>4125</v>
      </c>
      <c r="B1142" t="s">
        <v>974</v>
      </c>
      <c r="C1142" t="s">
        <v>756</v>
      </c>
      <c r="E1142">
        <v>918570</v>
      </c>
      <c r="G1142" s="2">
        <v>0.31111111111111112</v>
      </c>
      <c r="H1142" s="2">
        <v>0.3354166666666667</v>
      </c>
      <c r="J1142">
        <v>0.54556220398518096</v>
      </c>
      <c r="K1142" t="s">
        <v>778</v>
      </c>
      <c r="L1142" t="str">
        <f t="shared" si="51"/>
        <v>37</v>
      </c>
      <c r="M1142">
        <f t="shared" si="52"/>
        <v>0</v>
      </c>
      <c r="N1142">
        <f t="shared" si="53"/>
        <v>0</v>
      </c>
    </row>
    <row r="1143" spans="1:14">
      <c r="A1143">
        <v>4125</v>
      </c>
      <c r="B1143" t="s">
        <v>974</v>
      </c>
      <c r="C1143" t="s">
        <v>756</v>
      </c>
      <c r="E1143">
        <v>918570</v>
      </c>
      <c r="G1143" s="2">
        <v>0.3354166666666667</v>
      </c>
      <c r="H1143" s="2">
        <v>0.44444444444444442</v>
      </c>
      <c r="J1143">
        <v>2.4472361721620999</v>
      </c>
      <c r="K1143" t="s">
        <v>759</v>
      </c>
      <c r="L1143" t="str">
        <f t="shared" si="51"/>
        <v>33</v>
      </c>
      <c r="M1143">
        <f t="shared" si="52"/>
        <v>0</v>
      </c>
      <c r="N1143">
        <f t="shared" si="53"/>
        <v>0</v>
      </c>
    </row>
    <row r="1144" spans="1:14">
      <c r="A1144">
        <v>4125</v>
      </c>
      <c r="B1144" t="s">
        <v>974</v>
      </c>
      <c r="C1144" t="s">
        <v>756</v>
      </c>
      <c r="E1144">
        <v>918570</v>
      </c>
      <c r="G1144" s="2">
        <v>0.44444444444444442</v>
      </c>
      <c r="H1144" s="2">
        <v>0.55208333333333337</v>
      </c>
      <c r="J1144">
        <v>2.4160611890772299</v>
      </c>
      <c r="K1144" t="s">
        <v>763</v>
      </c>
      <c r="L1144" t="str">
        <f t="shared" si="51"/>
        <v>33</v>
      </c>
      <c r="M1144">
        <f t="shared" si="52"/>
        <v>0</v>
      </c>
      <c r="N1144">
        <f t="shared" si="53"/>
        <v>0</v>
      </c>
    </row>
    <row r="1145" spans="1:14">
      <c r="A1145">
        <v>7920</v>
      </c>
      <c r="B1145" t="s">
        <v>975</v>
      </c>
      <c r="C1145" t="s">
        <v>754</v>
      </c>
      <c r="D1145" t="s">
        <v>905</v>
      </c>
      <c r="E1145">
        <v>802040</v>
      </c>
      <c r="G1145" s="2">
        <v>0.5131944444444444</v>
      </c>
      <c r="H1145" s="2">
        <v>0.56666666666666665</v>
      </c>
      <c r="J1145">
        <v>1.19916819187243</v>
      </c>
      <c r="K1145" t="s">
        <v>759</v>
      </c>
      <c r="L1145" t="str">
        <f t="shared" si="51"/>
        <v>33</v>
      </c>
      <c r="M1145">
        <f t="shared" si="52"/>
        <v>0</v>
      </c>
      <c r="N1145">
        <f t="shared" si="53"/>
        <v>0</v>
      </c>
    </row>
    <row r="1146" spans="1:14">
      <c r="A1146">
        <v>7920</v>
      </c>
      <c r="B1146" t="s">
        <v>975</v>
      </c>
      <c r="C1146" t="s">
        <v>754</v>
      </c>
      <c r="D1146" t="s">
        <v>905</v>
      </c>
      <c r="E1146">
        <v>802040</v>
      </c>
      <c r="G1146" s="2">
        <v>0.56666666666666665</v>
      </c>
      <c r="H1146" s="2">
        <v>0.57013888888888886</v>
      </c>
      <c r="J1146">
        <v>7.7868064407300999E-2</v>
      </c>
      <c r="K1146" t="s">
        <v>773</v>
      </c>
      <c r="L1146" t="str">
        <f t="shared" si="51"/>
        <v>33</v>
      </c>
      <c r="M1146">
        <f t="shared" si="52"/>
        <v>0</v>
      </c>
      <c r="N1146">
        <f t="shared" si="53"/>
        <v>0</v>
      </c>
    </row>
    <row r="1147" spans="1:14">
      <c r="A1147">
        <v>7920</v>
      </c>
      <c r="B1147" t="s">
        <v>975</v>
      </c>
      <c r="C1147" t="s">
        <v>754</v>
      </c>
      <c r="D1147" t="s">
        <v>905</v>
      </c>
      <c r="E1147">
        <v>802040</v>
      </c>
      <c r="G1147" s="2">
        <v>0.57013888888888886</v>
      </c>
      <c r="H1147" s="2">
        <v>0.57152777777777775</v>
      </c>
      <c r="J1147">
        <v>3.1147225762920401E-2</v>
      </c>
      <c r="K1147" t="s">
        <v>759</v>
      </c>
      <c r="L1147" t="str">
        <f t="shared" si="51"/>
        <v>33</v>
      </c>
      <c r="M1147">
        <f t="shared" si="52"/>
        <v>0</v>
      </c>
      <c r="N1147">
        <f t="shared" si="53"/>
        <v>0</v>
      </c>
    </row>
    <row r="1148" spans="1:14">
      <c r="A1148">
        <v>7920</v>
      </c>
      <c r="B1148" t="s">
        <v>975</v>
      </c>
      <c r="C1148" t="s">
        <v>754</v>
      </c>
      <c r="D1148" t="s">
        <v>905</v>
      </c>
      <c r="E1148">
        <v>802040</v>
      </c>
      <c r="G1148" s="2">
        <v>0.57152777777777775</v>
      </c>
      <c r="H1148" s="2">
        <v>0.57916666666666672</v>
      </c>
      <c r="J1148">
        <v>0.171309741696062</v>
      </c>
      <c r="K1148" t="s">
        <v>773</v>
      </c>
      <c r="L1148" t="str">
        <f t="shared" si="51"/>
        <v>33</v>
      </c>
      <c r="M1148">
        <f t="shared" si="52"/>
        <v>0</v>
      </c>
      <c r="N1148">
        <f t="shared" si="53"/>
        <v>0</v>
      </c>
    </row>
    <row r="1149" spans="1:14">
      <c r="A1149">
        <v>7920</v>
      </c>
      <c r="B1149" t="s">
        <v>975</v>
      </c>
      <c r="C1149" t="s">
        <v>754</v>
      </c>
      <c r="D1149" t="s">
        <v>905</v>
      </c>
      <c r="E1149">
        <v>802040</v>
      </c>
      <c r="G1149" s="2">
        <v>0.57916666666666672</v>
      </c>
      <c r="H1149" s="2">
        <v>0.67152777777777783</v>
      </c>
      <c r="J1149">
        <v>2.0712905132342101</v>
      </c>
      <c r="K1149" t="s">
        <v>759</v>
      </c>
      <c r="L1149" t="str">
        <f t="shared" si="51"/>
        <v>33</v>
      </c>
      <c r="M1149">
        <f t="shared" si="52"/>
        <v>0</v>
      </c>
      <c r="N1149">
        <f t="shared" si="53"/>
        <v>0</v>
      </c>
    </row>
    <row r="1150" spans="1:14">
      <c r="A1150">
        <v>7920</v>
      </c>
      <c r="B1150" t="s">
        <v>975</v>
      </c>
      <c r="C1150" t="s">
        <v>754</v>
      </c>
      <c r="D1150" t="s">
        <v>905</v>
      </c>
      <c r="E1150">
        <v>802040</v>
      </c>
      <c r="G1150" s="2">
        <v>0.67152777777777783</v>
      </c>
      <c r="H1150" s="2">
        <v>0.67222222222222217</v>
      </c>
      <c r="J1150">
        <v>1.5573612881460201E-2</v>
      </c>
      <c r="K1150" t="s">
        <v>833</v>
      </c>
      <c r="L1150" t="str">
        <f t="shared" si="51"/>
        <v>33</v>
      </c>
      <c r="M1150">
        <f t="shared" si="52"/>
        <v>0</v>
      </c>
      <c r="N1150">
        <f t="shared" si="53"/>
        <v>0</v>
      </c>
    </row>
    <row r="1151" spans="1:14">
      <c r="A1151">
        <v>7920</v>
      </c>
      <c r="B1151" t="s">
        <v>975</v>
      </c>
      <c r="C1151" t="s">
        <v>754</v>
      </c>
      <c r="D1151" t="s">
        <v>905</v>
      </c>
      <c r="E1151">
        <v>802040</v>
      </c>
      <c r="G1151" s="2">
        <v>0.67222222222222217</v>
      </c>
      <c r="H1151" s="2">
        <v>0.68194444444444446</v>
      </c>
      <c r="J1151">
        <v>0.21803058034044201</v>
      </c>
      <c r="K1151" t="s">
        <v>1192</v>
      </c>
      <c r="L1151" t="str">
        <f t="shared" si="51"/>
        <v>33</v>
      </c>
      <c r="M1151">
        <f t="shared" si="52"/>
        <v>0</v>
      </c>
      <c r="N1151">
        <f t="shared" si="53"/>
        <v>0</v>
      </c>
    </row>
    <row r="1152" spans="1:14">
      <c r="A1152">
        <v>7920</v>
      </c>
      <c r="B1152" t="s">
        <v>975</v>
      </c>
      <c r="C1152" t="s">
        <v>754</v>
      </c>
      <c r="D1152" t="s">
        <v>905</v>
      </c>
      <c r="E1152">
        <v>802040</v>
      </c>
      <c r="G1152" s="2">
        <v>0.68194444444444446</v>
      </c>
      <c r="H1152" s="2">
        <v>0.68819444444444444</v>
      </c>
      <c r="J1152">
        <v>0.140162515933142</v>
      </c>
      <c r="K1152" t="s">
        <v>798</v>
      </c>
      <c r="L1152" t="str">
        <f t="shared" si="51"/>
        <v>33</v>
      </c>
      <c r="M1152">
        <f t="shared" si="52"/>
        <v>0</v>
      </c>
      <c r="N1152">
        <f t="shared" si="53"/>
        <v>0</v>
      </c>
    </row>
    <row r="1153" spans="1:14">
      <c r="A1153">
        <v>7920</v>
      </c>
      <c r="B1153" t="s">
        <v>975</v>
      </c>
      <c r="C1153" t="s">
        <v>754</v>
      </c>
      <c r="D1153" t="s">
        <v>905</v>
      </c>
      <c r="E1153">
        <v>802040</v>
      </c>
      <c r="G1153" s="2">
        <v>0.68819444444444444</v>
      </c>
      <c r="H1153" s="2">
        <v>0.69236111111111109</v>
      </c>
      <c r="J1153">
        <v>9.3441677288761293E-2</v>
      </c>
      <c r="K1153" t="s">
        <v>806</v>
      </c>
      <c r="L1153" t="str">
        <f t="shared" si="51"/>
        <v>33</v>
      </c>
      <c r="M1153">
        <f t="shared" si="52"/>
        <v>0</v>
      </c>
      <c r="N1153">
        <f t="shared" si="53"/>
        <v>0</v>
      </c>
    </row>
    <row r="1154" spans="1:14">
      <c r="A1154">
        <v>7920</v>
      </c>
      <c r="B1154" t="s">
        <v>975</v>
      </c>
      <c r="C1154" t="s">
        <v>754</v>
      </c>
      <c r="D1154" t="s">
        <v>905</v>
      </c>
      <c r="E1154">
        <v>802040</v>
      </c>
      <c r="G1154" s="2">
        <v>0.69236111111111109</v>
      </c>
      <c r="H1154" s="2">
        <v>0.69444444444444453</v>
      </c>
      <c r="J1154">
        <v>4.6720838644380598E-2</v>
      </c>
      <c r="K1154" t="s">
        <v>798</v>
      </c>
      <c r="L1154" t="str">
        <f t="shared" ref="L1154:L1217" si="54">RIGHT(LEFT(K1154,4),2)</f>
        <v>33</v>
      </c>
      <c r="M1154">
        <f t="shared" ref="M1154:M1217" si="55">IF(I1154=0,0,I1154-H1154)+IF(F1154=0,0,G1154-F1154)</f>
        <v>0</v>
      </c>
      <c r="N1154">
        <f t="shared" ref="N1154:N1217" si="56">(M1154-INT(M1154))*24</f>
        <v>0</v>
      </c>
    </row>
    <row r="1155" spans="1:14">
      <c r="A1155">
        <v>7920</v>
      </c>
      <c r="B1155" t="s">
        <v>975</v>
      </c>
      <c r="C1155" t="s">
        <v>754</v>
      </c>
      <c r="D1155" t="s">
        <v>905</v>
      </c>
      <c r="E1155">
        <v>802040</v>
      </c>
      <c r="G1155" s="2">
        <v>0.69444444444444453</v>
      </c>
      <c r="H1155" s="2">
        <v>0.70277777777777783</v>
      </c>
      <c r="J1155">
        <v>0.186883354577522</v>
      </c>
      <c r="K1155" t="s">
        <v>812</v>
      </c>
      <c r="L1155" t="str">
        <f t="shared" si="54"/>
        <v>33</v>
      </c>
      <c r="M1155">
        <f t="shared" si="55"/>
        <v>0</v>
      </c>
      <c r="N1155">
        <f t="shared" si="56"/>
        <v>0</v>
      </c>
    </row>
    <row r="1156" spans="1:14">
      <c r="A1156">
        <v>7920</v>
      </c>
      <c r="B1156" t="s">
        <v>975</v>
      </c>
      <c r="C1156" t="s">
        <v>754</v>
      </c>
      <c r="D1156" t="s">
        <v>905</v>
      </c>
      <c r="E1156">
        <v>802040</v>
      </c>
      <c r="G1156" s="2">
        <v>0.70277777777777783</v>
      </c>
      <c r="H1156" s="2">
        <v>0.74097222222222225</v>
      </c>
      <c r="J1156">
        <v>0.85654870848031095</v>
      </c>
      <c r="K1156" t="s">
        <v>800</v>
      </c>
      <c r="L1156" t="str">
        <f t="shared" si="54"/>
        <v>33</v>
      </c>
      <c r="M1156">
        <f t="shared" si="55"/>
        <v>0</v>
      </c>
      <c r="N1156">
        <f t="shared" si="56"/>
        <v>0</v>
      </c>
    </row>
    <row r="1157" spans="1:14">
      <c r="A1157">
        <v>7920</v>
      </c>
      <c r="B1157" t="s">
        <v>975</v>
      </c>
      <c r="C1157" t="s">
        <v>754</v>
      </c>
      <c r="D1157" t="s">
        <v>905</v>
      </c>
      <c r="E1157">
        <v>802040</v>
      </c>
      <c r="G1157" s="2">
        <v>0.74097222222222225</v>
      </c>
      <c r="H1157" s="2">
        <v>0.74305555555555547</v>
      </c>
      <c r="J1157">
        <v>4.6720838644380598E-2</v>
      </c>
      <c r="K1157" t="s">
        <v>798</v>
      </c>
      <c r="L1157" t="str">
        <f t="shared" si="54"/>
        <v>33</v>
      </c>
      <c r="M1157">
        <f t="shared" si="55"/>
        <v>0</v>
      </c>
      <c r="N1157">
        <f t="shared" si="56"/>
        <v>0</v>
      </c>
    </row>
    <row r="1158" spans="1:14">
      <c r="A1158">
        <v>7920</v>
      </c>
      <c r="B1158" t="s">
        <v>975</v>
      </c>
      <c r="C1158" t="s">
        <v>754</v>
      </c>
      <c r="D1158" t="s">
        <v>905</v>
      </c>
      <c r="E1158">
        <v>802040</v>
      </c>
      <c r="G1158" s="2">
        <v>0.74305555555555547</v>
      </c>
      <c r="H1158" s="2">
        <v>0.75763888888888886</v>
      </c>
      <c r="J1158">
        <v>0.32704587051066403</v>
      </c>
      <c r="K1158" t="s">
        <v>813</v>
      </c>
      <c r="L1158" t="str">
        <f t="shared" si="54"/>
        <v>33</v>
      </c>
      <c r="M1158">
        <f t="shared" si="55"/>
        <v>0</v>
      </c>
      <c r="N1158">
        <f t="shared" si="56"/>
        <v>0</v>
      </c>
    </row>
    <row r="1159" spans="1:14">
      <c r="A1159">
        <v>7920</v>
      </c>
      <c r="B1159" t="s">
        <v>975</v>
      </c>
      <c r="C1159" t="s">
        <v>754</v>
      </c>
      <c r="D1159" t="s">
        <v>905</v>
      </c>
      <c r="E1159">
        <v>802040</v>
      </c>
      <c r="G1159" s="2">
        <v>0.75763888888888886</v>
      </c>
      <c r="H1159" s="2">
        <v>0.77430555555555547</v>
      </c>
      <c r="J1159">
        <v>0.37376670915504501</v>
      </c>
      <c r="K1159" t="s">
        <v>798</v>
      </c>
      <c r="L1159" t="str">
        <f t="shared" si="54"/>
        <v>33</v>
      </c>
      <c r="M1159">
        <f t="shared" si="55"/>
        <v>0</v>
      </c>
      <c r="N1159">
        <f t="shared" si="56"/>
        <v>0</v>
      </c>
    </row>
    <row r="1160" spans="1:14">
      <c r="A1160">
        <v>7920</v>
      </c>
      <c r="B1160" t="s">
        <v>975</v>
      </c>
      <c r="C1160" t="s">
        <v>754</v>
      </c>
      <c r="D1160" t="s">
        <v>905</v>
      </c>
      <c r="E1160">
        <v>802040</v>
      </c>
      <c r="G1160" s="2">
        <v>0.77430555555555547</v>
      </c>
      <c r="H1160" s="2">
        <v>0.81319444444444444</v>
      </c>
      <c r="J1160">
        <v>0.87212232136177203</v>
      </c>
      <c r="K1160" t="s">
        <v>814</v>
      </c>
      <c r="L1160" t="str">
        <f t="shared" si="54"/>
        <v>33</v>
      </c>
      <c r="M1160">
        <f t="shared" si="55"/>
        <v>0</v>
      </c>
      <c r="N1160">
        <f t="shared" si="56"/>
        <v>0</v>
      </c>
    </row>
    <row r="1161" spans="1:14">
      <c r="A1161">
        <v>7920</v>
      </c>
      <c r="B1161" t="s">
        <v>975</v>
      </c>
      <c r="C1161" t="s">
        <v>754</v>
      </c>
      <c r="D1161" t="s">
        <v>905</v>
      </c>
      <c r="E1161">
        <v>802040</v>
      </c>
      <c r="G1161" s="2">
        <v>0.81319444444444444</v>
      </c>
      <c r="H1161" s="2">
        <v>0.82013888888888886</v>
      </c>
      <c r="J1161">
        <v>0.155736128814602</v>
      </c>
      <c r="K1161" t="s">
        <v>800</v>
      </c>
      <c r="L1161" t="str">
        <f t="shared" si="54"/>
        <v>33</v>
      </c>
      <c r="M1161">
        <f t="shared" si="55"/>
        <v>0</v>
      </c>
      <c r="N1161">
        <f t="shared" si="56"/>
        <v>0</v>
      </c>
    </row>
    <row r="1162" spans="1:14">
      <c r="A1162">
        <v>7920</v>
      </c>
      <c r="B1162" t="s">
        <v>975</v>
      </c>
      <c r="C1162" t="s">
        <v>754</v>
      </c>
      <c r="D1162" t="s">
        <v>905</v>
      </c>
      <c r="E1162">
        <v>802040</v>
      </c>
      <c r="G1162" s="2">
        <v>0.82013888888888886</v>
      </c>
      <c r="H1162" s="2">
        <v>0.83333333333333337</v>
      </c>
      <c r="J1162">
        <v>0.29589864474774402</v>
      </c>
      <c r="K1162" t="s">
        <v>798</v>
      </c>
      <c r="L1162" t="str">
        <f t="shared" si="54"/>
        <v>33</v>
      </c>
      <c r="M1162">
        <f t="shared" si="55"/>
        <v>0</v>
      </c>
      <c r="N1162">
        <f t="shared" si="56"/>
        <v>0</v>
      </c>
    </row>
    <row r="1163" spans="1:14">
      <c r="A1163">
        <v>7285</v>
      </c>
      <c r="B1163" t="s">
        <v>976</v>
      </c>
      <c r="C1163" t="s">
        <v>755</v>
      </c>
      <c r="D1163" t="s">
        <v>918</v>
      </c>
      <c r="E1163">
        <v>30742</v>
      </c>
      <c r="G1163" s="2">
        <v>0.3833333333333333</v>
      </c>
      <c r="H1163" s="2">
        <v>0.49305555555555558</v>
      </c>
      <c r="J1163">
        <v>2.6187845303867299</v>
      </c>
      <c r="K1163" t="s">
        <v>759</v>
      </c>
      <c r="L1163" t="str">
        <f t="shared" si="54"/>
        <v>33</v>
      </c>
      <c r="M1163">
        <f t="shared" si="55"/>
        <v>0</v>
      </c>
      <c r="N1163">
        <f t="shared" si="56"/>
        <v>0</v>
      </c>
    </row>
    <row r="1164" spans="1:14">
      <c r="A1164">
        <v>7285</v>
      </c>
      <c r="B1164" t="s">
        <v>976</v>
      </c>
      <c r="C1164" t="s">
        <v>755</v>
      </c>
      <c r="D1164" t="s">
        <v>918</v>
      </c>
      <c r="E1164">
        <v>30742</v>
      </c>
      <c r="G1164" s="2">
        <v>0.49305555555555558</v>
      </c>
      <c r="H1164" s="2">
        <v>0.63472222222222219</v>
      </c>
      <c r="J1164">
        <v>3.3812154696132599</v>
      </c>
      <c r="K1164" t="s">
        <v>930</v>
      </c>
      <c r="L1164" t="str">
        <f t="shared" si="54"/>
        <v>33</v>
      </c>
      <c r="M1164">
        <f t="shared" si="55"/>
        <v>0</v>
      </c>
      <c r="N1164">
        <f t="shared" si="56"/>
        <v>0</v>
      </c>
    </row>
    <row r="1165" spans="1:14">
      <c r="A1165">
        <v>7721</v>
      </c>
      <c r="B1165" t="s">
        <v>1256</v>
      </c>
      <c r="C1165" t="s">
        <v>754</v>
      </c>
      <c r="D1165" t="s">
        <v>841</v>
      </c>
      <c r="E1165">
        <v>350991</v>
      </c>
      <c r="G1165" s="2">
        <v>0.21388888888888891</v>
      </c>
      <c r="H1165" s="2">
        <v>0.36041666666666666</v>
      </c>
      <c r="J1165">
        <v>3.3424045948085102</v>
      </c>
      <c r="K1165" t="s">
        <v>759</v>
      </c>
      <c r="L1165" t="str">
        <f t="shared" si="54"/>
        <v>33</v>
      </c>
      <c r="M1165">
        <f t="shared" si="55"/>
        <v>0</v>
      </c>
      <c r="N1165">
        <f t="shared" si="56"/>
        <v>0</v>
      </c>
    </row>
    <row r="1166" spans="1:14">
      <c r="A1166">
        <v>7721</v>
      </c>
      <c r="B1166" t="s">
        <v>1256</v>
      </c>
      <c r="C1166" t="s">
        <v>754</v>
      </c>
      <c r="D1166" t="s">
        <v>841</v>
      </c>
      <c r="E1166">
        <v>350991</v>
      </c>
      <c r="G1166" s="2">
        <v>0.36041666666666666</v>
      </c>
      <c r="H1166" s="2">
        <v>0.36944444444444446</v>
      </c>
      <c r="J1166">
        <v>0.205930140912372</v>
      </c>
      <c r="K1166" t="s">
        <v>798</v>
      </c>
      <c r="L1166" t="str">
        <f t="shared" si="54"/>
        <v>33</v>
      </c>
      <c r="M1166">
        <f t="shared" si="55"/>
        <v>0</v>
      </c>
      <c r="N1166">
        <f t="shared" si="56"/>
        <v>0</v>
      </c>
    </row>
    <row r="1167" spans="1:14">
      <c r="A1167">
        <v>7721</v>
      </c>
      <c r="B1167" t="s">
        <v>1256</v>
      </c>
      <c r="C1167" t="s">
        <v>754</v>
      </c>
      <c r="D1167" t="s">
        <v>841</v>
      </c>
      <c r="E1167">
        <v>350991</v>
      </c>
      <c r="G1167" s="2">
        <v>0.36944444444444446</v>
      </c>
      <c r="H1167" s="2">
        <v>0.39652777777777781</v>
      </c>
      <c r="J1167">
        <v>0.61779042273711704</v>
      </c>
      <c r="K1167" t="s">
        <v>814</v>
      </c>
      <c r="L1167" t="str">
        <f t="shared" si="54"/>
        <v>33</v>
      </c>
      <c r="M1167">
        <f t="shared" si="55"/>
        <v>0</v>
      </c>
      <c r="N1167">
        <f t="shared" si="56"/>
        <v>0</v>
      </c>
    </row>
    <row r="1168" spans="1:14">
      <c r="A1168">
        <v>7721</v>
      </c>
      <c r="B1168" t="s">
        <v>1256</v>
      </c>
      <c r="C1168" t="s">
        <v>754</v>
      </c>
      <c r="D1168" t="s">
        <v>841</v>
      </c>
      <c r="E1168">
        <v>350991</v>
      </c>
      <c r="G1168" s="2">
        <v>0.39652777777777781</v>
      </c>
      <c r="H1168" s="2">
        <v>0.39930555555555558</v>
      </c>
      <c r="J1168">
        <v>6.3363120280730004E-2</v>
      </c>
      <c r="K1168" t="s">
        <v>798</v>
      </c>
      <c r="L1168" t="str">
        <f t="shared" si="54"/>
        <v>33</v>
      </c>
      <c r="M1168">
        <f t="shared" si="55"/>
        <v>0</v>
      </c>
      <c r="N1168">
        <f t="shared" si="56"/>
        <v>0</v>
      </c>
    </row>
    <row r="1169" spans="1:14">
      <c r="A1169">
        <v>7721</v>
      </c>
      <c r="B1169" t="s">
        <v>1256</v>
      </c>
      <c r="C1169" t="s">
        <v>754</v>
      </c>
      <c r="D1169" t="s">
        <v>841</v>
      </c>
      <c r="E1169">
        <v>350991</v>
      </c>
      <c r="G1169" s="2">
        <v>0.39930555555555558</v>
      </c>
      <c r="H1169" s="2">
        <v>0.40208333333333335</v>
      </c>
      <c r="J1169">
        <v>6.3363120280730004E-2</v>
      </c>
      <c r="K1169" t="s">
        <v>806</v>
      </c>
      <c r="L1169" t="str">
        <f t="shared" si="54"/>
        <v>33</v>
      </c>
      <c r="M1169">
        <f t="shared" si="55"/>
        <v>0</v>
      </c>
      <c r="N1169">
        <f t="shared" si="56"/>
        <v>0</v>
      </c>
    </row>
    <row r="1170" spans="1:14">
      <c r="A1170">
        <v>7721</v>
      </c>
      <c r="B1170" t="s">
        <v>1256</v>
      </c>
      <c r="C1170" t="s">
        <v>754</v>
      </c>
      <c r="D1170" t="s">
        <v>841</v>
      </c>
      <c r="E1170">
        <v>350991</v>
      </c>
      <c r="G1170" s="2">
        <v>0.40208333333333335</v>
      </c>
      <c r="H1170" s="2">
        <v>0.40277777777777773</v>
      </c>
      <c r="J1170">
        <v>1.5840780070182501E-2</v>
      </c>
      <c r="K1170" t="s">
        <v>798</v>
      </c>
      <c r="L1170" t="str">
        <f t="shared" si="54"/>
        <v>33</v>
      </c>
      <c r="M1170">
        <f t="shared" si="55"/>
        <v>0</v>
      </c>
      <c r="N1170">
        <f t="shared" si="56"/>
        <v>0</v>
      </c>
    </row>
    <row r="1171" spans="1:14">
      <c r="A1171">
        <v>7721</v>
      </c>
      <c r="B1171" t="s">
        <v>1256</v>
      </c>
      <c r="C1171" t="s">
        <v>754</v>
      </c>
      <c r="D1171" t="s">
        <v>841</v>
      </c>
      <c r="E1171">
        <v>350991</v>
      </c>
      <c r="G1171" s="2">
        <v>0.40277777777777773</v>
      </c>
      <c r="H1171" s="2">
        <v>0.40486111111111112</v>
      </c>
      <c r="J1171">
        <v>4.7522340210547499E-2</v>
      </c>
      <c r="K1171" t="s">
        <v>812</v>
      </c>
      <c r="L1171" t="str">
        <f t="shared" si="54"/>
        <v>33</v>
      </c>
      <c r="M1171">
        <f t="shared" si="55"/>
        <v>0</v>
      </c>
      <c r="N1171">
        <f t="shared" si="56"/>
        <v>0</v>
      </c>
    </row>
    <row r="1172" spans="1:14">
      <c r="A1172">
        <v>7721</v>
      </c>
      <c r="B1172" t="s">
        <v>1256</v>
      </c>
      <c r="C1172" t="s">
        <v>754</v>
      </c>
      <c r="D1172" t="s">
        <v>841</v>
      </c>
      <c r="E1172">
        <v>350991</v>
      </c>
      <c r="G1172" s="2">
        <v>0.40486111111111112</v>
      </c>
      <c r="H1172" s="2">
        <v>0.4069444444444445</v>
      </c>
      <c r="J1172">
        <v>4.7522340210547499E-2</v>
      </c>
      <c r="K1172" t="s">
        <v>798</v>
      </c>
      <c r="L1172" t="str">
        <f t="shared" si="54"/>
        <v>33</v>
      </c>
      <c r="M1172">
        <f t="shared" si="55"/>
        <v>0</v>
      </c>
      <c r="N1172">
        <f t="shared" si="56"/>
        <v>0</v>
      </c>
    </row>
    <row r="1173" spans="1:14">
      <c r="A1173">
        <v>7721</v>
      </c>
      <c r="B1173" t="s">
        <v>1256</v>
      </c>
      <c r="C1173" t="s">
        <v>754</v>
      </c>
      <c r="D1173" t="s">
        <v>841</v>
      </c>
      <c r="E1173">
        <v>350991</v>
      </c>
      <c r="G1173" s="2">
        <v>0.4069444444444445</v>
      </c>
      <c r="H1173" s="2">
        <v>0.40833333333333338</v>
      </c>
      <c r="J1173">
        <v>3.1681560140364898E-2</v>
      </c>
      <c r="K1173" t="s">
        <v>812</v>
      </c>
      <c r="L1173" t="str">
        <f t="shared" si="54"/>
        <v>33</v>
      </c>
      <c r="M1173">
        <f t="shared" si="55"/>
        <v>0</v>
      </c>
      <c r="N1173">
        <f t="shared" si="56"/>
        <v>0</v>
      </c>
    </row>
    <row r="1174" spans="1:14">
      <c r="A1174">
        <v>7721</v>
      </c>
      <c r="B1174" t="s">
        <v>1256</v>
      </c>
      <c r="C1174" t="s">
        <v>754</v>
      </c>
      <c r="D1174" t="s">
        <v>841</v>
      </c>
      <c r="E1174">
        <v>350991</v>
      </c>
      <c r="G1174" s="2">
        <v>0.40833333333333338</v>
      </c>
      <c r="H1174" s="2">
        <v>0.41319444444444442</v>
      </c>
      <c r="J1174">
        <v>0.110885460491277</v>
      </c>
      <c r="K1174" t="s">
        <v>798</v>
      </c>
      <c r="L1174" t="str">
        <f t="shared" si="54"/>
        <v>33</v>
      </c>
      <c r="M1174">
        <f t="shared" si="55"/>
        <v>0</v>
      </c>
      <c r="N1174">
        <f t="shared" si="56"/>
        <v>0</v>
      </c>
    </row>
    <row r="1175" spans="1:14">
      <c r="A1175">
        <v>7721</v>
      </c>
      <c r="B1175" t="s">
        <v>1256</v>
      </c>
      <c r="C1175" t="s">
        <v>754</v>
      </c>
      <c r="D1175" t="s">
        <v>841</v>
      </c>
      <c r="E1175">
        <v>350991</v>
      </c>
      <c r="G1175" s="2">
        <v>0.41319444444444442</v>
      </c>
      <c r="H1175" s="2">
        <v>0.43888888888888888</v>
      </c>
      <c r="J1175">
        <v>0.58610886259675299</v>
      </c>
      <c r="K1175" t="s">
        <v>812</v>
      </c>
      <c r="L1175" t="str">
        <f t="shared" si="54"/>
        <v>33</v>
      </c>
      <c r="M1175">
        <f t="shared" si="55"/>
        <v>0</v>
      </c>
      <c r="N1175">
        <f t="shared" si="56"/>
        <v>0</v>
      </c>
    </row>
    <row r="1176" spans="1:14">
      <c r="A1176">
        <v>7721</v>
      </c>
      <c r="B1176" t="s">
        <v>1256</v>
      </c>
      <c r="C1176" t="s">
        <v>754</v>
      </c>
      <c r="D1176" t="s">
        <v>841</v>
      </c>
      <c r="E1176">
        <v>350991</v>
      </c>
      <c r="G1176" s="2">
        <v>0.43888888888888888</v>
      </c>
      <c r="H1176" s="2">
        <v>0.45</v>
      </c>
      <c r="J1176">
        <v>0.25345248112292001</v>
      </c>
      <c r="K1176" t="s">
        <v>798</v>
      </c>
      <c r="L1176" t="str">
        <f t="shared" si="54"/>
        <v>33</v>
      </c>
      <c r="M1176">
        <f t="shared" si="55"/>
        <v>0</v>
      </c>
      <c r="N1176">
        <f t="shared" si="56"/>
        <v>0</v>
      </c>
    </row>
    <row r="1177" spans="1:14">
      <c r="A1177">
        <v>7721</v>
      </c>
      <c r="B1177" t="s">
        <v>1256</v>
      </c>
      <c r="C1177" t="s">
        <v>754</v>
      </c>
      <c r="D1177" t="s">
        <v>841</v>
      </c>
      <c r="E1177">
        <v>350991</v>
      </c>
      <c r="G1177" s="2">
        <v>0.45</v>
      </c>
      <c r="H1177" s="2">
        <v>0.53541666666666665</v>
      </c>
      <c r="J1177">
        <v>1.9484159486324399</v>
      </c>
      <c r="K1177" t="s">
        <v>799</v>
      </c>
      <c r="L1177" t="str">
        <f t="shared" si="54"/>
        <v>33</v>
      </c>
      <c r="M1177">
        <f t="shared" si="55"/>
        <v>0</v>
      </c>
      <c r="N1177">
        <f t="shared" si="56"/>
        <v>0</v>
      </c>
    </row>
    <row r="1178" spans="1:14">
      <c r="A1178">
        <v>7721</v>
      </c>
      <c r="B1178" t="s">
        <v>1256</v>
      </c>
      <c r="C1178" t="s">
        <v>754</v>
      </c>
      <c r="D1178" t="s">
        <v>841</v>
      </c>
      <c r="E1178">
        <v>350991</v>
      </c>
      <c r="G1178" s="2">
        <v>0.53541666666666665</v>
      </c>
      <c r="H1178" s="2">
        <v>0.57291666666666663</v>
      </c>
      <c r="J1178">
        <v>0.85540212378985503</v>
      </c>
      <c r="K1178" t="s">
        <v>798</v>
      </c>
      <c r="L1178" t="str">
        <f t="shared" si="54"/>
        <v>33</v>
      </c>
      <c r="M1178">
        <f t="shared" si="55"/>
        <v>0</v>
      </c>
      <c r="N1178">
        <f t="shared" si="56"/>
        <v>0</v>
      </c>
    </row>
    <row r="1179" spans="1:14">
      <c r="A1179">
        <v>7721</v>
      </c>
      <c r="B1179" t="s">
        <v>1256</v>
      </c>
      <c r="C1179" t="s">
        <v>754</v>
      </c>
      <c r="D1179" t="s">
        <v>841</v>
      </c>
      <c r="E1179">
        <v>350991</v>
      </c>
      <c r="G1179" s="2">
        <v>0.57291666666666663</v>
      </c>
      <c r="H1179" s="2">
        <v>0.625</v>
      </c>
      <c r="J1179">
        <v>1.1880585052636801</v>
      </c>
      <c r="K1179" t="s">
        <v>759</v>
      </c>
      <c r="L1179" t="str">
        <f t="shared" si="54"/>
        <v>33</v>
      </c>
      <c r="M1179">
        <f t="shared" si="55"/>
        <v>0</v>
      </c>
      <c r="N1179">
        <f t="shared" si="56"/>
        <v>0</v>
      </c>
    </row>
    <row r="1180" spans="1:14">
      <c r="A1180">
        <v>7378</v>
      </c>
      <c r="B1180" t="s">
        <v>977</v>
      </c>
      <c r="C1180" t="s">
        <v>754</v>
      </c>
      <c r="D1180" t="s">
        <v>757</v>
      </c>
      <c r="E1180">
        <v>38324</v>
      </c>
      <c r="G1180" s="2">
        <v>0.2076388888888889</v>
      </c>
      <c r="H1180" s="2">
        <v>0.54166666666666663</v>
      </c>
      <c r="J1180">
        <v>7.5</v>
      </c>
      <c r="K1180" t="s">
        <v>930</v>
      </c>
      <c r="L1180" t="str">
        <f t="shared" si="54"/>
        <v>33</v>
      </c>
      <c r="M1180">
        <f t="shared" si="55"/>
        <v>0</v>
      </c>
      <c r="N1180">
        <f t="shared" si="56"/>
        <v>0</v>
      </c>
    </row>
    <row r="1181" spans="1:14">
      <c r="A1181">
        <v>4131</v>
      </c>
      <c r="B1181" t="s">
        <v>1257</v>
      </c>
      <c r="C1181" t="s">
        <v>756</v>
      </c>
      <c r="E1181">
        <v>923595</v>
      </c>
      <c r="G1181" s="2">
        <v>0.48749999999999999</v>
      </c>
      <c r="H1181" s="2">
        <v>0.62777777777777777</v>
      </c>
      <c r="J1181">
        <v>3.1491335510684801</v>
      </c>
      <c r="K1181" t="s">
        <v>815</v>
      </c>
      <c r="L1181" t="str">
        <f t="shared" si="54"/>
        <v>46</v>
      </c>
      <c r="M1181">
        <f t="shared" si="55"/>
        <v>0</v>
      </c>
      <c r="N1181">
        <f t="shared" si="56"/>
        <v>0</v>
      </c>
    </row>
    <row r="1182" spans="1:14">
      <c r="A1182">
        <v>4131</v>
      </c>
      <c r="B1182" t="s">
        <v>1257</v>
      </c>
      <c r="C1182" t="s">
        <v>756</v>
      </c>
      <c r="E1182">
        <v>923595</v>
      </c>
      <c r="G1182" s="2">
        <v>0.62777777777777777</v>
      </c>
      <c r="H1182" s="2">
        <v>0.66180555555555554</v>
      </c>
      <c r="J1182">
        <v>0.76389873268492803</v>
      </c>
      <c r="K1182" t="s">
        <v>817</v>
      </c>
      <c r="L1182" t="str">
        <f t="shared" si="54"/>
        <v>46</v>
      </c>
      <c r="M1182">
        <f t="shared" si="55"/>
        <v>0</v>
      </c>
      <c r="N1182">
        <f t="shared" si="56"/>
        <v>0</v>
      </c>
    </row>
    <row r="1183" spans="1:14">
      <c r="A1183">
        <v>4131</v>
      </c>
      <c r="B1183" t="s">
        <v>1257</v>
      </c>
      <c r="C1183" t="s">
        <v>756</v>
      </c>
      <c r="E1183">
        <v>923595</v>
      </c>
      <c r="G1183" s="2">
        <v>0.66180555555555554</v>
      </c>
      <c r="H1183" s="2">
        <v>0.66527777777777775</v>
      </c>
      <c r="J1183">
        <v>7.7948850273972095E-2</v>
      </c>
      <c r="K1183" t="s">
        <v>877</v>
      </c>
      <c r="L1183" t="str">
        <f t="shared" si="54"/>
        <v>46</v>
      </c>
      <c r="M1183">
        <f t="shared" si="55"/>
        <v>0</v>
      </c>
      <c r="N1183">
        <f t="shared" si="56"/>
        <v>0</v>
      </c>
    </row>
    <row r="1184" spans="1:14">
      <c r="A1184">
        <v>4131</v>
      </c>
      <c r="B1184" t="s">
        <v>1257</v>
      </c>
      <c r="C1184" t="s">
        <v>756</v>
      </c>
      <c r="E1184">
        <v>923595</v>
      </c>
      <c r="G1184" s="2">
        <v>0.66527777777777775</v>
      </c>
      <c r="H1184" s="2">
        <v>0.7597222222222223</v>
      </c>
      <c r="J1184">
        <v>2.1202087274520398</v>
      </c>
      <c r="K1184" t="s">
        <v>817</v>
      </c>
      <c r="L1184" t="str">
        <f t="shared" si="54"/>
        <v>46</v>
      </c>
      <c r="M1184">
        <f t="shared" si="55"/>
        <v>0</v>
      </c>
      <c r="N1184">
        <f t="shared" si="56"/>
        <v>0</v>
      </c>
    </row>
    <row r="1185" spans="1:14">
      <c r="A1185">
        <v>4131</v>
      </c>
      <c r="B1185" t="s">
        <v>1257</v>
      </c>
      <c r="C1185" t="s">
        <v>756</v>
      </c>
      <c r="E1185">
        <v>923595</v>
      </c>
      <c r="G1185" s="2">
        <v>0.7597222222222223</v>
      </c>
      <c r="H1185" s="2">
        <v>0.77847222222222223</v>
      </c>
      <c r="J1185">
        <v>0.42092379147945003</v>
      </c>
      <c r="K1185" t="s">
        <v>816</v>
      </c>
      <c r="L1185" t="str">
        <f t="shared" si="54"/>
        <v>46</v>
      </c>
      <c r="M1185">
        <f t="shared" si="55"/>
        <v>0</v>
      </c>
      <c r="N1185">
        <f t="shared" si="56"/>
        <v>0</v>
      </c>
    </row>
    <row r="1186" spans="1:14">
      <c r="A1186">
        <v>4131</v>
      </c>
      <c r="B1186" t="s">
        <v>1257</v>
      </c>
      <c r="C1186" t="s">
        <v>756</v>
      </c>
      <c r="E1186">
        <v>923595</v>
      </c>
      <c r="G1186" s="2">
        <v>0.77847222222222223</v>
      </c>
      <c r="H1186" s="2">
        <v>0.8125</v>
      </c>
      <c r="J1186">
        <v>0.76389873268492803</v>
      </c>
      <c r="K1186" t="s">
        <v>778</v>
      </c>
      <c r="L1186" t="str">
        <f t="shared" si="54"/>
        <v>37</v>
      </c>
      <c r="M1186">
        <f t="shared" si="55"/>
        <v>0</v>
      </c>
      <c r="N1186">
        <f t="shared" si="56"/>
        <v>0</v>
      </c>
    </row>
    <row r="1187" spans="1:14">
      <c r="A1187">
        <v>7314</v>
      </c>
      <c r="B1187" t="s">
        <v>978</v>
      </c>
      <c r="C1187" t="s">
        <v>754</v>
      </c>
      <c r="D1187" t="s">
        <v>830</v>
      </c>
      <c r="E1187">
        <v>35277</v>
      </c>
      <c r="G1187" s="2">
        <v>0.49236111111111108</v>
      </c>
      <c r="H1187" s="2">
        <v>0.67847222222222225</v>
      </c>
      <c r="J1187">
        <v>4.4641584654087696</v>
      </c>
      <c r="K1187" t="s">
        <v>810</v>
      </c>
      <c r="L1187" t="str">
        <f t="shared" si="54"/>
        <v>15</v>
      </c>
      <c r="M1187">
        <f t="shared" si="55"/>
        <v>0</v>
      </c>
      <c r="N1187">
        <f t="shared" si="56"/>
        <v>0</v>
      </c>
    </row>
    <row r="1188" spans="1:14">
      <c r="A1188">
        <v>7314</v>
      </c>
      <c r="B1188" t="s">
        <v>978</v>
      </c>
      <c r="C1188" t="s">
        <v>754</v>
      </c>
      <c r="D1188" t="s">
        <v>830</v>
      </c>
      <c r="E1188">
        <v>35277</v>
      </c>
      <c r="G1188" s="2">
        <v>0.67847222222222225</v>
      </c>
      <c r="H1188" s="2">
        <v>0.80555555555555547</v>
      </c>
      <c r="J1188">
        <v>3.0482873103350898</v>
      </c>
      <c r="K1188" t="s">
        <v>773</v>
      </c>
      <c r="L1188" t="str">
        <f t="shared" si="54"/>
        <v>33</v>
      </c>
      <c r="M1188">
        <f t="shared" si="55"/>
        <v>0</v>
      </c>
      <c r="N1188">
        <f t="shared" si="56"/>
        <v>0</v>
      </c>
    </row>
    <row r="1189" spans="1:14">
      <c r="A1189">
        <v>7314</v>
      </c>
      <c r="B1189" t="s">
        <v>978</v>
      </c>
      <c r="C1189" t="s">
        <v>754</v>
      </c>
      <c r="D1189" t="s">
        <v>830</v>
      </c>
      <c r="E1189">
        <v>35277</v>
      </c>
      <c r="G1189" s="2">
        <v>0.80555555555555547</v>
      </c>
      <c r="H1189" s="2">
        <v>0.86944444444444446</v>
      </c>
      <c r="J1189">
        <v>1.53247230902091</v>
      </c>
      <c r="K1189" t="s">
        <v>798</v>
      </c>
      <c r="L1189" t="str">
        <f t="shared" si="54"/>
        <v>33</v>
      </c>
      <c r="M1189">
        <f t="shared" si="55"/>
        <v>0</v>
      </c>
      <c r="N1189">
        <f t="shared" si="56"/>
        <v>0</v>
      </c>
    </row>
    <row r="1190" spans="1:14">
      <c r="A1190">
        <v>7314</v>
      </c>
      <c r="B1190" t="s">
        <v>978</v>
      </c>
      <c r="C1190" t="s">
        <v>754</v>
      </c>
      <c r="D1190" t="s">
        <v>830</v>
      </c>
      <c r="E1190">
        <v>35277</v>
      </c>
      <c r="G1190" s="2">
        <v>0.86944444444444446</v>
      </c>
      <c r="H1190" s="2">
        <v>0.89583333333333337</v>
      </c>
      <c r="J1190">
        <v>0.63297769285646699</v>
      </c>
      <c r="K1190" t="s">
        <v>799</v>
      </c>
      <c r="L1190" t="str">
        <f t="shared" si="54"/>
        <v>33</v>
      </c>
      <c r="M1190">
        <f t="shared" si="55"/>
        <v>0</v>
      </c>
      <c r="N1190">
        <f t="shared" si="56"/>
        <v>0</v>
      </c>
    </row>
    <row r="1191" spans="1:14">
      <c r="A1191">
        <v>4206</v>
      </c>
      <c r="B1191" t="s">
        <v>979</v>
      </c>
      <c r="C1191" t="s">
        <v>756</v>
      </c>
      <c r="E1191">
        <v>795994</v>
      </c>
      <c r="G1191" s="2">
        <v>0.56319444444444444</v>
      </c>
      <c r="H1191" s="2">
        <v>0.68888888888888899</v>
      </c>
      <c r="J1191">
        <v>2.82617124830491</v>
      </c>
      <c r="K1191" t="s">
        <v>759</v>
      </c>
      <c r="L1191" t="str">
        <f t="shared" si="54"/>
        <v>33</v>
      </c>
      <c r="M1191">
        <f t="shared" si="55"/>
        <v>0</v>
      </c>
      <c r="N1191">
        <f t="shared" si="56"/>
        <v>0</v>
      </c>
    </row>
    <row r="1192" spans="1:14">
      <c r="A1192">
        <v>4206</v>
      </c>
      <c r="B1192" t="s">
        <v>979</v>
      </c>
      <c r="C1192" t="s">
        <v>756</v>
      </c>
      <c r="E1192">
        <v>795994</v>
      </c>
      <c r="G1192" s="2">
        <v>0.68888888888888899</v>
      </c>
      <c r="H1192" s="2">
        <v>0.69305555555555554</v>
      </c>
      <c r="J1192">
        <v>9.3685234750438995E-2</v>
      </c>
      <c r="K1192" t="s">
        <v>764</v>
      </c>
      <c r="L1192" t="str">
        <f t="shared" si="54"/>
        <v>33</v>
      </c>
      <c r="M1192">
        <f t="shared" si="55"/>
        <v>0</v>
      </c>
      <c r="N1192">
        <f t="shared" si="56"/>
        <v>0</v>
      </c>
    </row>
    <row r="1193" spans="1:14">
      <c r="A1193">
        <v>4206</v>
      </c>
      <c r="B1193" t="s">
        <v>979</v>
      </c>
      <c r="C1193" t="s">
        <v>756</v>
      </c>
      <c r="E1193">
        <v>795994</v>
      </c>
      <c r="G1193" s="2">
        <v>0.69305555555555554</v>
      </c>
      <c r="H1193" s="2">
        <v>0.7319444444444444</v>
      </c>
      <c r="J1193">
        <v>0.87439552433742995</v>
      </c>
      <c r="K1193" t="s">
        <v>759</v>
      </c>
      <c r="L1193" t="str">
        <f t="shared" si="54"/>
        <v>33</v>
      </c>
      <c r="M1193">
        <f t="shared" si="55"/>
        <v>0</v>
      </c>
      <c r="N1193">
        <f t="shared" si="56"/>
        <v>0</v>
      </c>
    </row>
    <row r="1194" spans="1:14">
      <c r="A1194">
        <v>4206</v>
      </c>
      <c r="B1194" t="s">
        <v>979</v>
      </c>
      <c r="C1194" t="s">
        <v>756</v>
      </c>
      <c r="E1194">
        <v>795994</v>
      </c>
      <c r="G1194" s="2">
        <v>0.7319444444444444</v>
      </c>
      <c r="H1194" s="2">
        <v>0.75138888888888899</v>
      </c>
      <c r="J1194">
        <v>0.43719776216871498</v>
      </c>
      <c r="K1194" t="s">
        <v>760</v>
      </c>
      <c r="L1194" t="str">
        <f t="shared" si="54"/>
        <v>33</v>
      </c>
      <c r="M1194">
        <f t="shared" si="55"/>
        <v>0</v>
      </c>
      <c r="N1194">
        <f t="shared" si="56"/>
        <v>0</v>
      </c>
    </row>
    <row r="1195" spans="1:14">
      <c r="A1195">
        <v>4206</v>
      </c>
      <c r="B1195" t="s">
        <v>979</v>
      </c>
      <c r="C1195" t="s">
        <v>756</v>
      </c>
      <c r="E1195">
        <v>795994</v>
      </c>
      <c r="G1195" s="2">
        <v>0.75138888888888899</v>
      </c>
      <c r="H1195" s="2">
        <v>0.89583333333333337</v>
      </c>
      <c r="J1195">
        <v>3.2477548046818798</v>
      </c>
      <c r="K1195" t="s">
        <v>759</v>
      </c>
      <c r="L1195" t="str">
        <f t="shared" si="54"/>
        <v>33</v>
      </c>
      <c r="M1195">
        <f t="shared" si="55"/>
        <v>0</v>
      </c>
      <c r="N1195">
        <f t="shared" si="56"/>
        <v>0</v>
      </c>
    </row>
    <row r="1196" spans="1:14">
      <c r="A1196">
        <v>7490</v>
      </c>
      <c r="B1196" t="s">
        <v>980</v>
      </c>
      <c r="C1196" t="s">
        <v>754</v>
      </c>
      <c r="D1196" t="s">
        <v>775</v>
      </c>
      <c r="E1196">
        <v>302656</v>
      </c>
      <c r="G1196" s="2">
        <v>0.72916666666666663</v>
      </c>
      <c r="H1196" s="2">
        <v>0.89583333333333337</v>
      </c>
      <c r="J1196">
        <v>3.9999999999999898</v>
      </c>
      <c r="K1196" t="s">
        <v>793</v>
      </c>
      <c r="L1196" t="str">
        <f t="shared" si="54"/>
        <v>33</v>
      </c>
      <c r="M1196">
        <f t="shared" si="55"/>
        <v>0</v>
      </c>
      <c r="N1196">
        <f t="shared" si="56"/>
        <v>0</v>
      </c>
    </row>
    <row r="1197" spans="1:14">
      <c r="A1197">
        <v>7490</v>
      </c>
      <c r="B1197" t="s">
        <v>980</v>
      </c>
      <c r="C1197" t="s">
        <v>754</v>
      </c>
      <c r="D1197" t="s">
        <v>775</v>
      </c>
      <c r="E1197">
        <v>302656</v>
      </c>
      <c r="G1197" s="2">
        <v>0.89583333333333337</v>
      </c>
      <c r="H1197" s="2">
        <v>0.97916666666666663</v>
      </c>
      <c r="J1197">
        <v>2</v>
      </c>
      <c r="K1197" t="s">
        <v>884</v>
      </c>
      <c r="L1197" t="str">
        <f t="shared" si="54"/>
        <v>46</v>
      </c>
      <c r="M1197">
        <f t="shared" si="55"/>
        <v>0</v>
      </c>
      <c r="N1197">
        <f t="shared" si="56"/>
        <v>0</v>
      </c>
    </row>
    <row r="1198" spans="1:14">
      <c r="A1198">
        <v>7490</v>
      </c>
      <c r="B1198" t="s">
        <v>980</v>
      </c>
      <c r="C1198" t="s">
        <v>754</v>
      </c>
      <c r="D1198" t="s">
        <v>775</v>
      </c>
      <c r="E1198">
        <v>302656</v>
      </c>
      <c r="G1198" s="2">
        <v>0.97916666666666663</v>
      </c>
      <c r="H1198" s="2">
        <v>8.3333333333333329E-2</v>
      </c>
      <c r="J1198">
        <v>2.5</v>
      </c>
      <c r="K1198" t="s">
        <v>776</v>
      </c>
      <c r="L1198" t="str">
        <f t="shared" si="54"/>
        <v>37</v>
      </c>
      <c r="M1198">
        <f t="shared" si="55"/>
        <v>0</v>
      </c>
      <c r="N1198">
        <f t="shared" si="56"/>
        <v>0</v>
      </c>
    </row>
    <row r="1199" spans="1:14">
      <c r="A1199">
        <v>7577</v>
      </c>
      <c r="B1199" t="s">
        <v>1258</v>
      </c>
      <c r="C1199" t="s">
        <v>755</v>
      </c>
      <c r="D1199" t="s">
        <v>981</v>
      </c>
      <c r="E1199">
        <v>141830</v>
      </c>
      <c r="G1199" s="2">
        <v>0.21666666666666667</v>
      </c>
      <c r="H1199" s="2">
        <v>0.21666666666666667</v>
      </c>
      <c r="J1199">
        <v>0</v>
      </c>
      <c r="K1199" t="s">
        <v>759</v>
      </c>
      <c r="L1199" t="str">
        <f t="shared" si="54"/>
        <v>33</v>
      </c>
      <c r="M1199">
        <f t="shared" si="55"/>
        <v>0</v>
      </c>
      <c r="N1199">
        <f t="shared" si="56"/>
        <v>0</v>
      </c>
    </row>
    <row r="1200" spans="1:14">
      <c r="A1200">
        <v>7577</v>
      </c>
      <c r="B1200" t="s">
        <v>1258</v>
      </c>
      <c r="C1200" t="s">
        <v>755</v>
      </c>
      <c r="D1200" t="s">
        <v>981</v>
      </c>
      <c r="E1200">
        <v>141830</v>
      </c>
      <c r="G1200" s="2">
        <v>0.21666666666666667</v>
      </c>
      <c r="H1200" s="2">
        <v>0.23055555555555554</v>
      </c>
      <c r="J1200">
        <v>0.31255096188905102</v>
      </c>
      <c r="K1200" t="s">
        <v>773</v>
      </c>
      <c r="L1200" t="str">
        <f t="shared" si="54"/>
        <v>33</v>
      </c>
      <c r="M1200">
        <f t="shared" si="55"/>
        <v>0</v>
      </c>
      <c r="N1200">
        <f t="shared" si="56"/>
        <v>0</v>
      </c>
    </row>
    <row r="1201" spans="1:14">
      <c r="A1201">
        <v>7577</v>
      </c>
      <c r="B1201" t="s">
        <v>1258</v>
      </c>
      <c r="C1201" t="s">
        <v>755</v>
      </c>
      <c r="D1201" t="s">
        <v>981</v>
      </c>
      <c r="E1201">
        <v>141830</v>
      </c>
      <c r="G1201" s="2">
        <v>0.23055555555555554</v>
      </c>
      <c r="H1201" s="2">
        <v>0.34027777777777773</v>
      </c>
      <c r="J1201">
        <v>2.4691525989234999</v>
      </c>
      <c r="K1201" t="s">
        <v>759</v>
      </c>
      <c r="L1201" t="str">
        <f t="shared" si="54"/>
        <v>33</v>
      </c>
      <c r="M1201">
        <f t="shared" si="55"/>
        <v>0</v>
      </c>
      <c r="N1201">
        <f t="shared" si="56"/>
        <v>0</v>
      </c>
    </row>
    <row r="1202" spans="1:14">
      <c r="A1202">
        <v>7577</v>
      </c>
      <c r="B1202" t="s">
        <v>1258</v>
      </c>
      <c r="C1202" t="s">
        <v>755</v>
      </c>
      <c r="D1202" t="s">
        <v>981</v>
      </c>
      <c r="E1202">
        <v>141830</v>
      </c>
      <c r="G1202" s="2">
        <v>0.34027777777777773</v>
      </c>
      <c r="H1202" s="2">
        <v>0.54236111111111118</v>
      </c>
      <c r="J1202">
        <v>4.5476164954857001</v>
      </c>
      <c r="K1202" t="s">
        <v>842</v>
      </c>
      <c r="L1202" t="str">
        <f t="shared" si="54"/>
        <v>33</v>
      </c>
      <c r="M1202">
        <f t="shared" si="55"/>
        <v>0</v>
      </c>
      <c r="N1202">
        <f t="shared" si="56"/>
        <v>0</v>
      </c>
    </row>
    <row r="1203" spans="1:14">
      <c r="A1203">
        <v>7972</v>
      </c>
      <c r="B1203" t="s">
        <v>1146</v>
      </c>
      <c r="C1203" t="s">
        <v>755</v>
      </c>
      <c r="D1203" t="s">
        <v>788</v>
      </c>
      <c r="E1203">
        <v>902335</v>
      </c>
      <c r="G1203" s="2">
        <v>0.43402777777777773</v>
      </c>
      <c r="H1203" s="2">
        <v>0.45694444444444443</v>
      </c>
      <c r="J1203">
        <v>0.54978422174839403</v>
      </c>
      <c r="K1203" t="s">
        <v>778</v>
      </c>
      <c r="L1203" t="str">
        <f t="shared" si="54"/>
        <v>37</v>
      </c>
      <c r="M1203">
        <f t="shared" si="55"/>
        <v>0</v>
      </c>
      <c r="N1203">
        <f t="shared" si="56"/>
        <v>0</v>
      </c>
    </row>
    <row r="1204" spans="1:14">
      <c r="A1204">
        <v>7972</v>
      </c>
      <c r="B1204" t="s">
        <v>1146</v>
      </c>
      <c r="C1204" t="s">
        <v>755</v>
      </c>
      <c r="D1204" t="s">
        <v>788</v>
      </c>
      <c r="E1204">
        <v>902335</v>
      </c>
      <c r="G1204" s="2">
        <v>0.45694444444444443</v>
      </c>
      <c r="H1204" s="2">
        <v>0.51458333333333328</v>
      </c>
      <c r="J1204">
        <v>1.3827906183368599</v>
      </c>
      <c r="K1204" t="s">
        <v>817</v>
      </c>
      <c r="L1204" t="str">
        <f t="shared" si="54"/>
        <v>46</v>
      </c>
      <c r="M1204">
        <f t="shared" si="55"/>
        <v>0</v>
      </c>
      <c r="N1204">
        <f t="shared" si="56"/>
        <v>0</v>
      </c>
    </row>
    <row r="1205" spans="1:14">
      <c r="A1205">
        <v>7972</v>
      </c>
      <c r="B1205" t="s">
        <v>1146</v>
      </c>
      <c r="C1205" t="s">
        <v>755</v>
      </c>
      <c r="D1205" t="s">
        <v>788</v>
      </c>
      <c r="E1205">
        <v>902335</v>
      </c>
      <c r="G1205" s="2">
        <v>0.51458333333333328</v>
      </c>
      <c r="H1205" s="2">
        <v>0.54791666666666672</v>
      </c>
      <c r="J1205">
        <v>0.79968614072493704</v>
      </c>
      <c r="K1205" t="s">
        <v>769</v>
      </c>
      <c r="L1205" t="str">
        <f t="shared" si="54"/>
        <v>37</v>
      </c>
      <c r="M1205">
        <f t="shared" si="55"/>
        <v>0</v>
      </c>
      <c r="N1205">
        <f t="shared" si="56"/>
        <v>0</v>
      </c>
    </row>
    <row r="1206" spans="1:14">
      <c r="A1206">
        <v>7972</v>
      </c>
      <c r="B1206" t="s">
        <v>1146</v>
      </c>
      <c r="C1206" t="s">
        <v>755</v>
      </c>
      <c r="D1206" t="s">
        <v>788</v>
      </c>
      <c r="E1206">
        <v>902335</v>
      </c>
      <c r="G1206" s="2">
        <v>0.54791666666666672</v>
      </c>
      <c r="H1206" s="2">
        <v>0.58680555555555558</v>
      </c>
      <c r="J1206">
        <v>0.93296716417909298</v>
      </c>
      <c r="K1206" t="s">
        <v>877</v>
      </c>
      <c r="L1206" t="str">
        <f t="shared" si="54"/>
        <v>46</v>
      </c>
      <c r="M1206">
        <f t="shared" si="55"/>
        <v>0</v>
      </c>
      <c r="N1206">
        <f t="shared" si="56"/>
        <v>0</v>
      </c>
    </row>
    <row r="1207" spans="1:14">
      <c r="A1207">
        <v>7972</v>
      </c>
      <c r="B1207" t="s">
        <v>1146</v>
      </c>
      <c r="C1207" t="s">
        <v>755</v>
      </c>
      <c r="D1207" t="s">
        <v>788</v>
      </c>
      <c r="E1207">
        <v>902335</v>
      </c>
      <c r="G1207" s="2">
        <v>0.58680555555555558</v>
      </c>
      <c r="H1207" s="2">
        <v>0.61805555555555558</v>
      </c>
      <c r="J1207">
        <v>0.74970575692962804</v>
      </c>
      <c r="K1207" t="s">
        <v>816</v>
      </c>
      <c r="L1207" t="str">
        <f t="shared" si="54"/>
        <v>46</v>
      </c>
      <c r="M1207">
        <f t="shared" si="55"/>
        <v>0</v>
      </c>
      <c r="N1207">
        <f t="shared" si="56"/>
        <v>0</v>
      </c>
    </row>
    <row r="1208" spans="1:14">
      <c r="A1208">
        <v>7972</v>
      </c>
      <c r="B1208" t="s">
        <v>1146</v>
      </c>
      <c r="C1208" t="s">
        <v>755</v>
      </c>
      <c r="D1208" t="s">
        <v>788</v>
      </c>
      <c r="E1208">
        <v>902335</v>
      </c>
      <c r="G1208" s="2">
        <v>0.61805555555555558</v>
      </c>
      <c r="H1208" s="2">
        <v>0.62847222222222221</v>
      </c>
      <c r="J1208">
        <v>0.24990191897654199</v>
      </c>
      <c r="K1208" t="s">
        <v>877</v>
      </c>
      <c r="L1208" t="str">
        <f t="shared" si="54"/>
        <v>46</v>
      </c>
      <c r="M1208">
        <f t="shared" si="55"/>
        <v>0</v>
      </c>
      <c r="N1208">
        <f t="shared" si="56"/>
        <v>0</v>
      </c>
    </row>
    <row r="1209" spans="1:14">
      <c r="A1209">
        <v>7972</v>
      </c>
      <c r="B1209" t="s">
        <v>1146</v>
      </c>
      <c r="C1209" t="s">
        <v>755</v>
      </c>
      <c r="D1209" t="s">
        <v>788</v>
      </c>
      <c r="E1209">
        <v>902335</v>
      </c>
      <c r="G1209" s="2">
        <v>0.62847222222222221</v>
      </c>
      <c r="H1209" s="2">
        <v>0.64444444444444449</v>
      </c>
      <c r="J1209">
        <v>0.383182942430698</v>
      </c>
      <c r="K1209" t="s">
        <v>817</v>
      </c>
      <c r="L1209" t="str">
        <f t="shared" si="54"/>
        <v>46</v>
      </c>
      <c r="M1209">
        <f t="shared" si="55"/>
        <v>0</v>
      </c>
      <c r="N1209">
        <f t="shared" si="56"/>
        <v>0</v>
      </c>
    </row>
    <row r="1210" spans="1:14">
      <c r="A1210">
        <v>7972</v>
      </c>
      <c r="B1210" t="s">
        <v>1146</v>
      </c>
      <c r="C1210" t="s">
        <v>755</v>
      </c>
      <c r="D1210" t="s">
        <v>788</v>
      </c>
      <c r="E1210">
        <v>902335</v>
      </c>
      <c r="G1210" s="2">
        <v>0.64444444444444449</v>
      </c>
      <c r="H1210" s="2">
        <v>0.65</v>
      </c>
      <c r="J1210">
        <v>0.13328102345415499</v>
      </c>
      <c r="K1210" t="s">
        <v>877</v>
      </c>
      <c r="L1210" t="str">
        <f t="shared" si="54"/>
        <v>46</v>
      </c>
      <c r="M1210">
        <f t="shared" si="55"/>
        <v>0</v>
      </c>
      <c r="N1210">
        <f t="shared" si="56"/>
        <v>0</v>
      </c>
    </row>
    <row r="1211" spans="1:14">
      <c r="A1211">
        <v>7972</v>
      </c>
      <c r="B1211" t="s">
        <v>1146</v>
      </c>
      <c r="C1211" t="s">
        <v>755</v>
      </c>
      <c r="D1211" t="s">
        <v>788</v>
      </c>
      <c r="E1211">
        <v>902335</v>
      </c>
      <c r="G1211" s="2">
        <v>0.65</v>
      </c>
      <c r="H1211" s="2">
        <v>0.65486111111111112</v>
      </c>
      <c r="J1211">
        <v>0.116620895522387</v>
      </c>
      <c r="K1211" t="s">
        <v>817</v>
      </c>
      <c r="L1211" t="str">
        <f t="shared" si="54"/>
        <v>46</v>
      </c>
      <c r="M1211">
        <f t="shared" si="55"/>
        <v>0</v>
      </c>
      <c r="N1211">
        <f t="shared" si="56"/>
        <v>0</v>
      </c>
    </row>
    <row r="1212" spans="1:14">
      <c r="A1212">
        <v>7972</v>
      </c>
      <c r="B1212" t="s">
        <v>1146</v>
      </c>
      <c r="C1212" t="s">
        <v>755</v>
      </c>
      <c r="D1212" t="s">
        <v>788</v>
      </c>
      <c r="E1212">
        <v>902335</v>
      </c>
      <c r="G1212" s="2">
        <v>0.65486111111111112</v>
      </c>
      <c r="H1212" s="2">
        <v>0.66666666666666663</v>
      </c>
      <c r="J1212">
        <v>0.283222174840081</v>
      </c>
      <c r="K1212" t="s">
        <v>815</v>
      </c>
      <c r="L1212" t="str">
        <f t="shared" si="54"/>
        <v>46</v>
      </c>
      <c r="M1212">
        <f t="shared" si="55"/>
        <v>0</v>
      </c>
      <c r="N1212">
        <f t="shared" si="56"/>
        <v>0</v>
      </c>
    </row>
    <row r="1213" spans="1:14">
      <c r="A1213">
        <v>7169</v>
      </c>
      <c r="B1213" t="s">
        <v>1147</v>
      </c>
      <c r="C1213" t="s">
        <v>754</v>
      </c>
      <c r="D1213" t="s">
        <v>1076</v>
      </c>
      <c r="E1213">
        <v>22055</v>
      </c>
      <c r="G1213" s="2">
        <v>6.805555555555555E-2</v>
      </c>
      <c r="H1213" s="2">
        <v>7.013888888888889E-2</v>
      </c>
      <c r="J1213">
        <v>4.7522340210547499E-2</v>
      </c>
      <c r="K1213" t="s">
        <v>767</v>
      </c>
      <c r="L1213" t="str">
        <f t="shared" si="54"/>
        <v>37</v>
      </c>
      <c r="M1213">
        <f t="shared" si="55"/>
        <v>0</v>
      </c>
      <c r="N1213">
        <f t="shared" si="56"/>
        <v>0</v>
      </c>
    </row>
    <row r="1214" spans="1:14">
      <c r="A1214">
        <v>7169</v>
      </c>
      <c r="B1214" t="s">
        <v>1147</v>
      </c>
      <c r="C1214" t="s">
        <v>754</v>
      </c>
      <c r="D1214" t="s">
        <v>1076</v>
      </c>
      <c r="E1214">
        <v>22055</v>
      </c>
      <c r="G1214" s="2">
        <v>7.013888888888889E-2</v>
      </c>
      <c r="H1214" s="2">
        <v>0.22083333333333333</v>
      </c>
      <c r="J1214">
        <v>3.4374492752296</v>
      </c>
      <c r="K1214" t="s">
        <v>768</v>
      </c>
      <c r="L1214" t="str">
        <f t="shared" si="54"/>
        <v>46</v>
      </c>
      <c r="M1214">
        <f t="shared" si="55"/>
        <v>0</v>
      </c>
      <c r="N1214">
        <f t="shared" si="56"/>
        <v>0</v>
      </c>
    </row>
    <row r="1215" spans="1:14">
      <c r="A1215">
        <v>7169</v>
      </c>
      <c r="B1215" t="s">
        <v>1147</v>
      </c>
      <c r="C1215" t="s">
        <v>754</v>
      </c>
      <c r="D1215" t="s">
        <v>1076</v>
      </c>
      <c r="E1215">
        <v>22055</v>
      </c>
      <c r="G1215" s="2">
        <v>0.22083333333333333</v>
      </c>
      <c r="H1215" s="2">
        <v>0.23611111111111113</v>
      </c>
      <c r="J1215">
        <v>0.348497161544015</v>
      </c>
      <c r="K1215" t="s">
        <v>827</v>
      </c>
      <c r="L1215" t="str">
        <f t="shared" si="54"/>
        <v>37</v>
      </c>
      <c r="M1215">
        <f t="shared" si="55"/>
        <v>0</v>
      </c>
      <c r="N1215">
        <f t="shared" si="56"/>
        <v>0</v>
      </c>
    </row>
    <row r="1216" spans="1:14">
      <c r="A1216">
        <v>7169</v>
      </c>
      <c r="B1216" t="s">
        <v>1147</v>
      </c>
      <c r="C1216" t="s">
        <v>754</v>
      </c>
      <c r="D1216" t="s">
        <v>1076</v>
      </c>
      <c r="E1216">
        <v>22055</v>
      </c>
      <c r="G1216" s="2">
        <v>0.23611111111111113</v>
      </c>
      <c r="H1216" s="2">
        <v>0.47916666666666669</v>
      </c>
      <c r="J1216">
        <v>5.5442730245638696</v>
      </c>
      <c r="K1216" t="s">
        <v>1136</v>
      </c>
      <c r="L1216" t="str">
        <f t="shared" si="54"/>
        <v>37</v>
      </c>
      <c r="M1216">
        <f t="shared" si="55"/>
        <v>0</v>
      </c>
      <c r="N1216">
        <f t="shared" si="56"/>
        <v>0</v>
      </c>
    </row>
    <row r="1217" spans="1:14">
      <c r="A1217">
        <v>7462</v>
      </c>
      <c r="B1217" t="s">
        <v>1148</v>
      </c>
      <c r="C1217" t="s">
        <v>755</v>
      </c>
      <c r="D1217" t="s">
        <v>818</v>
      </c>
      <c r="E1217">
        <v>302641</v>
      </c>
      <c r="G1217" s="2">
        <v>0.50138888888888888</v>
      </c>
      <c r="H1217" s="2">
        <v>0.58750000000000002</v>
      </c>
      <c r="J1217">
        <v>2.0628333333333302</v>
      </c>
      <c r="K1217" t="s">
        <v>786</v>
      </c>
      <c r="L1217" t="str">
        <f t="shared" si="54"/>
        <v>33</v>
      </c>
      <c r="M1217">
        <f t="shared" si="55"/>
        <v>0</v>
      </c>
      <c r="N1217">
        <f t="shared" si="56"/>
        <v>0</v>
      </c>
    </row>
    <row r="1218" spans="1:14">
      <c r="A1218">
        <v>7462</v>
      </c>
      <c r="B1218" t="s">
        <v>1148</v>
      </c>
      <c r="C1218" t="s">
        <v>755</v>
      </c>
      <c r="D1218" t="s">
        <v>818</v>
      </c>
      <c r="E1218">
        <v>302641</v>
      </c>
      <c r="G1218" s="2">
        <v>0.58750000000000002</v>
      </c>
      <c r="H1218" s="2">
        <v>0.61111111111111105</v>
      </c>
      <c r="J1218">
        <v>0.57783333333333198</v>
      </c>
      <c r="K1218" t="s">
        <v>763</v>
      </c>
      <c r="L1218" t="str">
        <f t="shared" ref="L1218:L1281" si="57">RIGHT(LEFT(K1218,4),2)</f>
        <v>33</v>
      </c>
      <c r="M1218">
        <f t="shared" ref="M1218:M1281" si="58">IF(I1218=0,0,I1218-H1218)+IF(F1218=0,0,G1218-F1218)</f>
        <v>0</v>
      </c>
      <c r="N1218">
        <f t="shared" ref="N1218:N1281" si="59">(M1218-INT(M1218))*24</f>
        <v>0</v>
      </c>
    </row>
    <row r="1219" spans="1:14">
      <c r="A1219">
        <v>7462</v>
      </c>
      <c r="B1219" t="s">
        <v>1148</v>
      </c>
      <c r="C1219" t="s">
        <v>755</v>
      </c>
      <c r="D1219" t="s">
        <v>818</v>
      </c>
      <c r="E1219">
        <v>302641</v>
      </c>
      <c r="G1219" s="2">
        <v>0.61111111111111105</v>
      </c>
      <c r="H1219" s="2">
        <v>0.61250000000000004</v>
      </c>
      <c r="J1219">
        <v>3.3000000000000002E-2</v>
      </c>
      <c r="K1219" t="s">
        <v>787</v>
      </c>
      <c r="L1219" t="str">
        <f t="shared" si="57"/>
        <v>33</v>
      </c>
      <c r="M1219">
        <f t="shared" si="58"/>
        <v>0</v>
      </c>
      <c r="N1219">
        <f t="shared" si="59"/>
        <v>0</v>
      </c>
    </row>
    <row r="1220" spans="1:14">
      <c r="A1220">
        <v>7462</v>
      </c>
      <c r="B1220" t="s">
        <v>1148</v>
      </c>
      <c r="C1220" t="s">
        <v>755</v>
      </c>
      <c r="D1220" t="s">
        <v>818</v>
      </c>
      <c r="E1220">
        <v>302641</v>
      </c>
      <c r="G1220" s="2">
        <v>0.67847222222222225</v>
      </c>
      <c r="H1220" s="2">
        <v>0.76111111111111107</v>
      </c>
      <c r="J1220">
        <v>1.96383333333333</v>
      </c>
      <c r="K1220" t="s">
        <v>1106</v>
      </c>
      <c r="L1220" t="str">
        <f t="shared" si="57"/>
        <v>33</v>
      </c>
      <c r="M1220">
        <f t="shared" si="58"/>
        <v>0</v>
      </c>
      <c r="N1220">
        <f t="shared" si="59"/>
        <v>0</v>
      </c>
    </row>
    <row r="1221" spans="1:14">
      <c r="A1221">
        <v>7462</v>
      </c>
      <c r="B1221" t="s">
        <v>1148</v>
      </c>
      <c r="C1221" t="s">
        <v>755</v>
      </c>
      <c r="D1221" t="s">
        <v>818</v>
      </c>
      <c r="E1221">
        <v>302641</v>
      </c>
      <c r="G1221" s="2">
        <v>0.76111111111111107</v>
      </c>
      <c r="H1221" s="2">
        <v>0.85416666666666663</v>
      </c>
      <c r="J1221">
        <v>2.21133333333333</v>
      </c>
      <c r="K1221" t="s">
        <v>786</v>
      </c>
      <c r="L1221" t="str">
        <f t="shared" si="57"/>
        <v>33</v>
      </c>
      <c r="M1221">
        <f t="shared" si="58"/>
        <v>0</v>
      </c>
      <c r="N1221">
        <f t="shared" si="59"/>
        <v>0</v>
      </c>
    </row>
    <row r="1222" spans="1:14">
      <c r="A1222">
        <v>7234</v>
      </c>
      <c r="B1222" t="s">
        <v>1149</v>
      </c>
      <c r="C1222" t="s">
        <v>755</v>
      </c>
      <c r="D1222" t="s">
        <v>1150</v>
      </c>
      <c r="E1222">
        <v>258624</v>
      </c>
      <c r="G1222" s="2">
        <v>0.20972222222222223</v>
      </c>
      <c r="H1222" s="2">
        <v>0.29236111111111113</v>
      </c>
      <c r="J1222">
        <v>1.98795530726253</v>
      </c>
      <c r="K1222" t="s">
        <v>912</v>
      </c>
      <c r="L1222" t="str">
        <f t="shared" si="57"/>
        <v>33</v>
      </c>
      <c r="M1222">
        <f t="shared" si="58"/>
        <v>0</v>
      </c>
      <c r="N1222">
        <f t="shared" si="59"/>
        <v>0</v>
      </c>
    </row>
    <row r="1223" spans="1:14">
      <c r="A1223">
        <v>7234</v>
      </c>
      <c r="B1223" t="s">
        <v>1149</v>
      </c>
      <c r="C1223" t="s">
        <v>755</v>
      </c>
      <c r="D1223" t="s">
        <v>1150</v>
      </c>
      <c r="E1223">
        <v>258624</v>
      </c>
      <c r="G1223" s="2">
        <v>0.29236111111111113</v>
      </c>
      <c r="H1223" s="2">
        <v>0.31736111111111115</v>
      </c>
      <c r="J1223">
        <v>0.601398244213877</v>
      </c>
      <c r="K1223" t="s">
        <v>850</v>
      </c>
      <c r="L1223" t="str">
        <f t="shared" si="57"/>
        <v>33</v>
      </c>
      <c r="M1223">
        <f t="shared" si="58"/>
        <v>0</v>
      </c>
      <c r="N1223">
        <f t="shared" si="59"/>
        <v>0</v>
      </c>
    </row>
    <row r="1224" spans="1:14">
      <c r="A1224">
        <v>7234</v>
      </c>
      <c r="B1224" t="s">
        <v>1149</v>
      </c>
      <c r="C1224" t="s">
        <v>755</v>
      </c>
      <c r="D1224" t="s">
        <v>1150</v>
      </c>
      <c r="E1224">
        <v>258624</v>
      </c>
      <c r="G1224" s="2">
        <v>0.31736111111111115</v>
      </c>
      <c r="H1224" s="2">
        <v>0.45833333333333331</v>
      </c>
      <c r="J1224">
        <v>3.3912178770949102</v>
      </c>
      <c r="K1224" t="s">
        <v>912</v>
      </c>
      <c r="L1224" t="str">
        <f t="shared" si="57"/>
        <v>33</v>
      </c>
      <c r="M1224">
        <f t="shared" si="58"/>
        <v>0</v>
      </c>
      <c r="N1224">
        <f t="shared" si="59"/>
        <v>0</v>
      </c>
    </row>
    <row r="1225" spans="1:14">
      <c r="A1225">
        <v>7257</v>
      </c>
      <c r="B1225" t="s">
        <v>1259</v>
      </c>
      <c r="C1225" t="s">
        <v>754</v>
      </c>
      <c r="D1225" t="s">
        <v>830</v>
      </c>
      <c r="E1225">
        <v>285621</v>
      </c>
      <c r="G1225" s="2">
        <v>0.52430555555555558</v>
      </c>
      <c r="H1225" s="2">
        <v>0.64722222222222225</v>
      </c>
      <c r="J1225">
        <v>2.9483938232969402</v>
      </c>
      <c r="K1225" t="s">
        <v>763</v>
      </c>
      <c r="L1225" t="str">
        <f t="shared" si="57"/>
        <v>33</v>
      </c>
      <c r="M1225">
        <f t="shared" si="58"/>
        <v>0</v>
      </c>
      <c r="N1225">
        <f t="shared" si="59"/>
        <v>0</v>
      </c>
    </row>
    <row r="1226" spans="1:14">
      <c r="A1226">
        <v>7257</v>
      </c>
      <c r="B1226" t="s">
        <v>1259</v>
      </c>
      <c r="C1226" t="s">
        <v>754</v>
      </c>
      <c r="D1226" t="s">
        <v>830</v>
      </c>
      <c r="E1226">
        <v>285621</v>
      </c>
      <c r="G1226" s="2">
        <v>0.64722222222222225</v>
      </c>
      <c r="H1226" s="2">
        <v>0.89722222222222225</v>
      </c>
      <c r="J1226">
        <v>5.9967331999260001</v>
      </c>
      <c r="K1226" t="s">
        <v>842</v>
      </c>
      <c r="L1226" t="str">
        <f t="shared" si="57"/>
        <v>33</v>
      </c>
      <c r="M1226">
        <f t="shared" si="58"/>
        <v>0</v>
      </c>
      <c r="N1226">
        <f t="shared" si="59"/>
        <v>0</v>
      </c>
    </row>
    <row r="1227" spans="1:14">
      <c r="A1227">
        <v>7172</v>
      </c>
      <c r="B1227" t="s">
        <v>982</v>
      </c>
      <c r="C1227" t="s">
        <v>754</v>
      </c>
      <c r="D1227">
        <v>65</v>
      </c>
      <c r="E1227">
        <v>22001</v>
      </c>
      <c r="G1227" s="2">
        <v>0.76875000000000004</v>
      </c>
      <c r="H1227" s="2">
        <v>6.25E-2</v>
      </c>
      <c r="J1227">
        <v>6.5465897959182699</v>
      </c>
      <c r="K1227" t="s">
        <v>907</v>
      </c>
      <c r="L1227" t="str">
        <f t="shared" si="57"/>
        <v>65</v>
      </c>
      <c r="M1227">
        <f t="shared" si="58"/>
        <v>0</v>
      </c>
      <c r="N1227">
        <f t="shared" si="59"/>
        <v>0</v>
      </c>
    </row>
    <row r="1228" spans="1:14">
      <c r="A1228">
        <v>7980</v>
      </c>
      <c r="B1228" t="s">
        <v>1260</v>
      </c>
      <c r="C1228" t="s">
        <v>755</v>
      </c>
      <c r="D1228" t="s">
        <v>832</v>
      </c>
      <c r="E1228">
        <v>902348</v>
      </c>
      <c r="G1228" s="2">
        <v>0.22013888888888888</v>
      </c>
      <c r="H1228" s="2">
        <v>0.37152777777777773</v>
      </c>
      <c r="J1228">
        <v>3.4110179857427898</v>
      </c>
      <c r="K1228" t="s">
        <v>778</v>
      </c>
      <c r="L1228" t="str">
        <f t="shared" si="57"/>
        <v>37</v>
      </c>
      <c r="M1228">
        <f t="shared" si="58"/>
        <v>0</v>
      </c>
      <c r="N1228">
        <f t="shared" si="59"/>
        <v>0</v>
      </c>
    </row>
    <row r="1229" spans="1:14">
      <c r="A1229">
        <v>7980</v>
      </c>
      <c r="B1229" t="s">
        <v>1260</v>
      </c>
      <c r="C1229" t="s">
        <v>755</v>
      </c>
      <c r="D1229" t="s">
        <v>832</v>
      </c>
      <c r="E1229">
        <v>902348</v>
      </c>
      <c r="G1229" s="2">
        <v>0.37152777777777773</v>
      </c>
      <c r="H1229" s="2">
        <v>0.55208333333333337</v>
      </c>
      <c r="J1229">
        <v>4.0681865885005699</v>
      </c>
      <c r="K1229" t="s">
        <v>769</v>
      </c>
      <c r="L1229" t="str">
        <f t="shared" si="57"/>
        <v>37</v>
      </c>
      <c r="M1229">
        <f t="shared" si="58"/>
        <v>0</v>
      </c>
      <c r="N1229">
        <f t="shared" si="59"/>
        <v>0</v>
      </c>
    </row>
    <row r="1230" spans="1:14">
      <c r="A1230">
        <v>8034</v>
      </c>
      <c r="B1230" t="s">
        <v>983</v>
      </c>
      <c r="C1230" t="s">
        <v>754</v>
      </c>
      <c r="D1230" t="s">
        <v>775</v>
      </c>
      <c r="E1230">
        <v>510454</v>
      </c>
      <c r="G1230" s="2">
        <v>0.33333333333333331</v>
      </c>
      <c r="H1230" s="2">
        <v>0.6875</v>
      </c>
      <c r="J1230">
        <v>8</v>
      </c>
      <c r="K1230" t="s">
        <v>984</v>
      </c>
      <c r="L1230" t="str">
        <f t="shared" si="57"/>
        <v>65</v>
      </c>
      <c r="M1230">
        <f t="shared" si="58"/>
        <v>0</v>
      </c>
      <c r="N1230">
        <f t="shared" si="59"/>
        <v>0</v>
      </c>
    </row>
    <row r="1231" spans="1:14">
      <c r="A1231">
        <v>7173</v>
      </c>
      <c r="B1231" t="s">
        <v>1151</v>
      </c>
      <c r="C1231" t="s">
        <v>755</v>
      </c>
      <c r="D1231" t="s">
        <v>818</v>
      </c>
      <c r="E1231">
        <v>22029</v>
      </c>
      <c r="G1231" s="2">
        <v>0.22152777777777777</v>
      </c>
      <c r="H1231" s="2">
        <v>0.22638888888888889</v>
      </c>
      <c r="J1231">
        <v>0.109015290170221</v>
      </c>
      <c r="K1231" t="s">
        <v>847</v>
      </c>
      <c r="L1231" t="str">
        <f t="shared" si="57"/>
        <v>33</v>
      </c>
      <c r="M1231">
        <f t="shared" si="58"/>
        <v>0</v>
      </c>
      <c r="N1231">
        <f t="shared" si="59"/>
        <v>0</v>
      </c>
    </row>
    <row r="1232" spans="1:14">
      <c r="A1232">
        <v>7173</v>
      </c>
      <c r="B1232" t="s">
        <v>1151</v>
      </c>
      <c r="C1232" t="s">
        <v>755</v>
      </c>
      <c r="D1232" t="s">
        <v>818</v>
      </c>
      <c r="E1232">
        <v>22029</v>
      </c>
      <c r="G1232" s="2">
        <v>0.22638888888888889</v>
      </c>
      <c r="H1232" s="2">
        <v>0.54166666666666663</v>
      </c>
      <c r="J1232">
        <v>7.0704202481829403</v>
      </c>
      <c r="K1232" t="s">
        <v>842</v>
      </c>
      <c r="L1232" t="str">
        <f t="shared" si="57"/>
        <v>33</v>
      </c>
      <c r="M1232">
        <f t="shared" si="58"/>
        <v>0</v>
      </c>
      <c r="N1232">
        <f t="shared" si="59"/>
        <v>0</v>
      </c>
    </row>
    <row r="1233" spans="1:14">
      <c r="A1233">
        <v>7045</v>
      </c>
      <c r="B1233" t="s">
        <v>986</v>
      </c>
      <c r="C1233" t="s">
        <v>755</v>
      </c>
      <c r="D1233" t="s">
        <v>981</v>
      </c>
      <c r="E1233">
        <v>30670</v>
      </c>
      <c r="G1233" s="2">
        <v>0.25347222222222221</v>
      </c>
      <c r="H1233" s="2">
        <v>0.37013888888888885</v>
      </c>
      <c r="J1233">
        <v>2.6276059694062299</v>
      </c>
      <c r="K1233" t="s">
        <v>773</v>
      </c>
      <c r="L1233" t="str">
        <f t="shared" si="57"/>
        <v>33</v>
      </c>
      <c r="M1233">
        <f t="shared" si="58"/>
        <v>0</v>
      </c>
      <c r="N1233">
        <f t="shared" si="59"/>
        <v>0</v>
      </c>
    </row>
    <row r="1234" spans="1:14">
      <c r="A1234">
        <v>7045</v>
      </c>
      <c r="B1234" t="s">
        <v>986</v>
      </c>
      <c r="C1234" t="s">
        <v>755</v>
      </c>
      <c r="D1234" t="s">
        <v>981</v>
      </c>
      <c r="E1234">
        <v>30670</v>
      </c>
      <c r="G1234" s="2">
        <v>0.37013888888888885</v>
      </c>
      <c r="H1234" s="2">
        <v>0.38263888888888892</v>
      </c>
      <c r="J1234">
        <v>0.28152921100780998</v>
      </c>
      <c r="K1234" t="s">
        <v>798</v>
      </c>
      <c r="L1234" t="str">
        <f t="shared" si="57"/>
        <v>33</v>
      </c>
      <c r="M1234">
        <f t="shared" si="58"/>
        <v>0</v>
      </c>
      <c r="N1234">
        <f t="shared" si="59"/>
        <v>0</v>
      </c>
    </row>
    <row r="1235" spans="1:14">
      <c r="A1235">
        <v>7045</v>
      </c>
      <c r="B1235" t="s">
        <v>986</v>
      </c>
      <c r="C1235" t="s">
        <v>755</v>
      </c>
      <c r="D1235" t="s">
        <v>981</v>
      </c>
      <c r="E1235">
        <v>30670</v>
      </c>
      <c r="G1235" s="2">
        <v>0.38263888888888892</v>
      </c>
      <c r="H1235" s="2">
        <v>0.39444444444444443</v>
      </c>
      <c r="J1235">
        <v>0.26588869928515402</v>
      </c>
      <c r="K1235" t="s">
        <v>799</v>
      </c>
      <c r="L1235" t="str">
        <f t="shared" si="57"/>
        <v>33</v>
      </c>
      <c r="M1235">
        <f t="shared" si="58"/>
        <v>0</v>
      </c>
      <c r="N1235">
        <f t="shared" si="59"/>
        <v>0</v>
      </c>
    </row>
    <row r="1236" spans="1:14">
      <c r="A1236">
        <v>7045</v>
      </c>
      <c r="B1236" t="s">
        <v>986</v>
      </c>
      <c r="C1236" t="s">
        <v>755</v>
      </c>
      <c r="D1236" t="s">
        <v>981</v>
      </c>
      <c r="E1236">
        <v>30670</v>
      </c>
      <c r="G1236" s="2">
        <v>0.39444444444444443</v>
      </c>
      <c r="H1236" s="2">
        <v>0.39583333333333331</v>
      </c>
      <c r="J1236">
        <v>3.1281023445312202E-2</v>
      </c>
      <c r="K1236" t="s">
        <v>798</v>
      </c>
      <c r="L1236" t="str">
        <f t="shared" si="57"/>
        <v>33</v>
      </c>
      <c r="M1236">
        <f t="shared" si="58"/>
        <v>0</v>
      </c>
      <c r="N1236">
        <f t="shared" si="59"/>
        <v>0</v>
      </c>
    </row>
    <row r="1237" spans="1:14">
      <c r="A1237">
        <v>7045</v>
      </c>
      <c r="B1237" t="s">
        <v>986</v>
      </c>
      <c r="C1237" t="s">
        <v>755</v>
      </c>
      <c r="D1237" t="s">
        <v>981</v>
      </c>
      <c r="E1237">
        <v>30670</v>
      </c>
      <c r="G1237" s="2">
        <v>0.39583333333333331</v>
      </c>
      <c r="H1237" s="2">
        <v>0.40069444444444446</v>
      </c>
      <c r="J1237">
        <v>0.109483582058593</v>
      </c>
      <c r="K1237" t="s">
        <v>800</v>
      </c>
      <c r="L1237" t="str">
        <f t="shared" si="57"/>
        <v>33</v>
      </c>
      <c r="M1237">
        <f t="shared" si="58"/>
        <v>0</v>
      </c>
      <c r="N1237">
        <f t="shared" si="59"/>
        <v>0</v>
      </c>
    </row>
    <row r="1238" spans="1:14">
      <c r="A1238">
        <v>7045</v>
      </c>
      <c r="B1238" t="s">
        <v>986</v>
      </c>
      <c r="C1238" t="s">
        <v>755</v>
      </c>
      <c r="D1238" t="s">
        <v>981</v>
      </c>
      <c r="E1238">
        <v>30670</v>
      </c>
      <c r="G1238" s="2">
        <v>0.40069444444444446</v>
      </c>
      <c r="H1238" s="2">
        <v>0.41041666666666665</v>
      </c>
      <c r="J1238">
        <v>0.218967164117185</v>
      </c>
      <c r="K1238" t="s">
        <v>798</v>
      </c>
      <c r="L1238" t="str">
        <f t="shared" si="57"/>
        <v>33</v>
      </c>
      <c r="M1238">
        <f t="shared" si="58"/>
        <v>0</v>
      </c>
      <c r="N1238">
        <f t="shared" si="59"/>
        <v>0</v>
      </c>
    </row>
    <row r="1239" spans="1:14">
      <c r="A1239">
        <v>7045</v>
      </c>
      <c r="B1239" t="s">
        <v>986</v>
      </c>
      <c r="C1239" t="s">
        <v>755</v>
      </c>
      <c r="D1239" t="s">
        <v>981</v>
      </c>
      <c r="E1239">
        <v>30670</v>
      </c>
      <c r="G1239" s="2">
        <v>0.41041666666666665</v>
      </c>
      <c r="H1239" s="2">
        <v>0.41180555555555554</v>
      </c>
      <c r="J1239">
        <v>3.1281023445312202E-2</v>
      </c>
      <c r="K1239" t="s">
        <v>813</v>
      </c>
      <c r="L1239" t="str">
        <f t="shared" si="57"/>
        <v>33</v>
      </c>
      <c r="M1239">
        <f t="shared" si="58"/>
        <v>0</v>
      </c>
      <c r="N1239">
        <f t="shared" si="59"/>
        <v>0</v>
      </c>
    </row>
    <row r="1240" spans="1:14">
      <c r="A1240">
        <v>7045</v>
      </c>
      <c r="B1240" t="s">
        <v>986</v>
      </c>
      <c r="C1240" t="s">
        <v>755</v>
      </c>
      <c r="D1240" t="s">
        <v>981</v>
      </c>
      <c r="E1240">
        <v>30670</v>
      </c>
      <c r="G1240" s="2">
        <v>0.41180555555555554</v>
      </c>
      <c r="H1240" s="2">
        <v>0.43472222222222223</v>
      </c>
      <c r="J1240">
        <v>0.51613688684765202</v>
      </c>
      <c r="K1240" t="s">
        <v>798</v>
      </c>
      <c r="L1240" t="str">
        <f t="shared" si="57"/>
        <v>33</v>
      </c>
      <c r="M1240">
        <f t="shared" si="58"/>
        <v>0</v>
      </c>
      <c r="N1240">
        <f t="shared" si="59"/>
        <v>0</v>
      </c>
    </row>
    <row r="1241" spans="1:14">
      <c r="A1241">
        <v>7045</v>
      </c>
      <c r="B1241" t="s">
        <v>986</v>
      </c>
      <c r="C1241" t="s">
        <v>755</v>
      </c>
      <c r="D1241" t="s">
        <v>981</v>
      </c>
      <c r="E1241">
        <v>30670</v>
      </c>
      <c r="G1241" s="2">
        <v>0.43472222222222223</v>
      </c>
      <c r="H1241" s="2">
        <v>0.45624999999999999</v>
      </c>
      <c r="J1241">
        <v>0.48485586340233999</v>
      </c>
      <c r="K1241" t="s">
        <v>800</v>
      </c>
      <c r="L1241" t="str">
        <f t="shared" si="57"/>
        <v>33</v>
      </c>
      <c r="M1241">
        <f t="shared" si="58"/>
        <v>0</v>
      </c>
      <c r="N1241">
        <f t="shared" si="59"/>
        <v>0</v>
      </c>
    </row>
    <row r="1242" spans="1:14">
      <c r="A1242">
        <v>7045</v>
      </c>
      <c r="B1242" t="s">
        <v>986</v>
      </c>
      <c r="C1242" t="s">
        <v>755</v>
      </c>
      <c r="D1242" t="s">
        <v>981</v>
      </c>
      <c r="E1242">
        <v>30670</v>
      </c>
      <c r="G1242" s="2">
        <v>0.45624999999999999</v>
      </c>
      <c r="H1242" s="2">
        <v>0.45902777777777781</v>
      </c>
      <c r="J1242">
        <v>6.2562046890624501E-2</v>
      </c>
      <c r="K1242" t="s">
        <v>798</v>
      </c>
      <c r="L1242" t="str">
        <f t="shared" si="57"/>
        <v>33</v>
      </c>
      <c r="M1242">
        <f t="shared" si="58"/>
        <v>0</v>
      </c>
      <c r="N1242">
        <f t="shared" si="59"/>
        <v>0</v>
      </c>
    </row>
    <row r="1243" spans="1:14">
      <c r="A1243">
        <v>7045</v>
      </c>
      <c r="B1243" t="s">
        <v>986</v>
      </c>
      <c r="C1243" t="s">
        <v>755</v>
      </c>
      <c r="D1243" t="s">
        <v>981</v>
      </c>
      <c r="E1243">
        <v>30670</v>
      </c>
      <c r="G1243" s="2">
        <v>0.45902777777777781</v>
      </c>
      <c r="H1243" s="2">
        <v>0.46250000000000002</v>
      </c>
      <c r="J1243">
        <v>7.8202558613280598E-2</v>
      </c>
      <c r="K1243" t="s">
        <v>813</v>
      </c>
      <c r="L1243" t="str">
        <f t="shared" si="57"/>
        <v>33</v>
      </c>
      <c r="M1243">
        <f t="shared" si="58"/>
        <v>0</v>
      </c>
      <c r="N1243">
        <f t="shared" si="59"/>
        <v>0</v>
      </c>
    </row>
    <row r="1244" spans="1:14">
      <c r="A1244">
        <v>7045</v>
      </c>
      <c r="B1244" t="s">
        <v>986</v>
      </c>
      <c r="C1244" t="s">
        <v>755</v>
      </c>
      <c r="D1244" t="s">
        <v>981</v>
      </c>
      <c r="E1244">
        <v>30670</v>
      </c>
      <c r="G1244" s="2">
        <v>0.46250000000000002</v>
      </c>
      <c r="H1244" s="2">
        <v>0.58333333333333337</v>
      </c>
      <c r="J1244">
        <v>2.72144903974216</v>
      </c>
      <c r="K1244" t="s">
        <v>798</v>
      </c>
      <c r="L1244" t="str">
        <f t="shared" si="57"/>
        <v>33</v>
      </c>
      <c r="M1244">
        <f t="shared" si="58"/>
        <v>0</v>
      </c>
      <c r="N1244">
        <f t="shared" si="59"/>
        <v>0</v>
      </c>
    </row>
    <row r="1245" spans="1:14">
      <c r="A1245">
        <v>7935</v>
      </c>
      <c r="B1245" t="s">
        <v>987</v>
      </c>
      <c r="C1245" t="s">
        <v>756</v>
      </c>
      <c r="E1245">
        <v>836644</v>
      </c>
      <c r="G1245" s="2">
        <v>0.22500000000000001</v>
      </c>
      <c r="H1245" s="2">
        <v>0.26111111111111113</v>
      </c>
      <c r="J1245">
        <v>0.81297169753931697</v>
      </c>
      <c r="K1245" t="s">
        <v>759</v>
      </c>
      <c r="L1245" t="str">
        <f t="shared" si="57"/>
        <v>33</v>
      </c>
      <c r="M1245">
        <f t="shared" si="58"/>
        <v>0</v>
      </c>
      <c r="N1245">
        <f t="shared" si="59"/>
        <v>0</v>
      </c>
    </row>
    <row r="1246" spans="1:14">
      <c r="A1246">
        <v>7935</v>
      </c>
      <c r="B1246" t="s">
        <v>987</v>
      </c>
      <c r="C1246" t="s">
        <v>756</v>
      </c>
      <c r="E1246">
        <v>836644</v>
      </c>
      <c r="G1246" s="2">
        <v>0.26111111111111113</v>
      </c>
      <c r="H1246" s="2">
        <v>0.55277777777777781</v>
      </c>
      <c r="J1246">
        <v>6.5663098647406404</v>
      </c>
      <c r="K1246" t="s">
        <v>760</v>
      </c>
      <c r="L1246" t="str">
        <f t="shared" si="57"/>
        <v>33</v>
      </c>
      <c r="M1246">
        <f t="shared" si="58"/>
        <v>0</v>
      </c>
      <c r="N1246">
        <f t="shared" si="59"/>
        <v>0</v>
      </c>
    </row>
    <row r="1247" spans="1:14">
      <c r="A1247">
        <v>4052</v>
      </c>
      <c r="B1247" t="s">
        <v>988</v>
      </c>
      <c r="C1247" t="s">
        <v>756</v>
      </c>
      <c r="E1247">
        <v>907173</v>
      </c>
      <c r="G1247" s="2">
        <v>0.2298611111111111</v>
      </c>
      <c r="H1247" s="2">
        <v>0.55208333333333337</v>
      </c>
      <c r="J1247">
        <v>7.2293970443348696</v>
      </c>
      <c r="K1247" t="s">
        <v>778</v>
      </c>
      <c r="L1247" t="str">
        <f t="shared" si="57"/>
        <v>37</v>
      </c>
      <c r="M1247">
        <f t="shared" si="58"/>
        <v>0</v>
      </c>
      <c r="N1247">
        <f t="shared" si="59"/>
        <v>0</v>
      </c>
    </row>
    <row r="1248" spans="1:14">
      <c r="A1248">
        <v>7636</v>
      </c>
      <c r="B1248" t="s">
        <v>989</v>
      </c>
      <c r="C1248" t="s">
        <v>754</v>
      </c>
      <c r="D1248" t="s">
        <v>823</v>
      </c>
      <c r="E1248">
        <v>171993</v>
      </c>
      <c r="G1248" s="2">
        <v>0.50902777777777775</v>
      </c>
      <c r="H1248" s="2">
        <v>0.53333333333333333</v>
      </c>
      <c r="J1248">
        <v>0.58301100635882697</v>
      </c>
      <c r="K1248" t="s">
        <v>759</v>
      </c>
      <c r="L1248" t="str">
        <f t="shared" si="57"/>
        <v>33</v>
      </c>
      <c r="M1248">
        <f t="shared" si="58"/>
        <v>0</v>
      </c>
      <c r="N1248">
        <f t="shared" si="59"/>
        <v>0</v>
      </c>
    </row>
    <row r="1249" spans="1:14">
      <c r="A1249">
        <v>7636</v>
      </c>
      <c r="B1249" t="s">
        <v>989</v>
      </c>
      <c r="C1249" t="s">
        <v>754</v>
      </c>
      <c r="D1249" t="s">
        <v>823</v>
      </c>
      <c r="E1249">
        <v>171993</v>
      </c>
      <c r="G1249" s="2">
        <v>0.53333333333333333</v>
      </c>
      <c r="H1249" s="2">
        <v>0.53611111111111109</v>
      </c>
      <c r="J1249">
        <v>6.6629829298151699E-2</v>
      </c>
      <c r="K1249" t="s">
        <v>833</v>
      </c>
      <c r="L1249" t="str">
        <f t="shared" si="57"/>
        <v>33</v>
      </c>
      <c r="M1249">
        <f t="shared" si="58"/>
        <v>0</v>
      </c>
      <c r="N1249">
        <f t="shared" si="59"/>
        <v>0</v>
      </c>
    </row>
    <row r="1250" spans="1:14">
      <c r="A1250">
        <v>7636</v>
      </c>
      <c r="B1250" t="s">
        <v>989</v>
      </c>
      <c r="C1250" t="s">
        <v>754</v>
      </c>
      <c r="D1250" t="s">
        <v>823</v>
      </c>
      <c r="E1250">
        <v>171993</v>
      </c>
      <c r="G1250" s="2">
        <v>0.53611111111111109</v>
      </c>
      <c r="H1250" s="2">
        <v>0.71805555555555556</v>
      </c>
      <c r="J1250">
        <v>4.3642538190289404</v>
      </c>
      <c r="K1250" t="s">
        <v>759</v>
      </c>
      <c r="L1250" t="str">
        <f t="shared" si="57"/>
        <v>33</v>
      </c>
      <c r="M1250">
        <f t="shared" si="58"/>
        <v>0</v>
      </c>
      <c r="N1250">
        <f t="shared" si="59"/>
        <v>0</v>
      </c>
    </row>
    <row r="1251" spans="1:14">
      <c r="A1251">
        <v>7636</v>
      </c>
      <c r="B1251" t="s">
        <v>989</v>
      </c>
      <c r="C1251" t="s">
        <v>754</v>
      </c>
      <c r="D1251" t="s">
        <v>823</v>
      </c>
      <c r="E1251">
        <v>171993</v>
      </c>
      <c r="G1251" s="2">
        <v>0.71805555555555556</v>
      </c>
      <c r="H1251" s="2">
        <v>0.72361111111111109</v>
      </c>
      <c r="J1251">
        <v>0.13325965859630301</v>
      </c>
      <c r="K1251" t="s">
        <v>798</v>
      </c>
      <c r="L1251" t="str">
        <f t="shared" si="57"/>
        <v>33</v>
      </c>
      <c r="M1251">
        <f t="shared" si="58"/>
        <v>0</v>
      </c>
      <c r="N1251">
        <f t="shared" si="59"/>
        <v>0</v>
      </c>
    </row>
    <row r="1252" spans="1:14">
      <c r="A1252">
        <v>7636</v>
      </c>
      <c r="B1252" t="s">
        <v>989</v>
      </c>
      <c r="C1252" t="s">
        <v>754</v>
      </c>
      <c r="D1252" t="s">
        <v>823</v>
      </c>
      <c r="E1252">
        <v>171993</v>
      </c>
      <c r="G1252" s="2">
        <v>0.72361111111111109</v>
      </c>
      <c r="H1252" s="2">
        <v>0.72430555555555554</v>
      </c>
      <c r="J1252">
        <v>1.6657457324537901E-2</v>
      </c>
      <c r="K1252" t="s">
        <v>834</v>
      </c>
      <c r="L1252" t="str">
        <f t="shared" si="57"/>
        <v>33</v>
      </c>
      <c r="M1252">
        <f t="shared" si="58"/>
        <v>0</v>
      </c>
      <c r="N1252">
        <f t="shared" si="59"/>
        <v>0</v>
      </c>
    </row>
    <row r="1253" spans="1:14">
      <c r="A1253">
        <v>7636</v>
      </c>
      <c r="B1253" t="s">
        <v>989</v>
      </c>
      <c r="C1253" t="s">
        <v>754</v>
      </c>
      <c r="D1253" t="s">
        <v>823</v>
      </c>
      <c r="E1253">
        <v>171993</v>
      </c>
      <c r="G1253" s="2">
        <v>0.72430555555555554</v>
      </c>
      <c r="H1253" s="2">
        <v>0.72986111111111107</v>
      </c>
      <c r="J1253">
        <v>0.13325965859630301</v>
      </c>
      <c r="K1253" t="s">
        <v>798</v>
      </c>
      <c r="L1253" t="str">
        <f t="shared" si="57"/>
        <v>33</v>
      </c>
      <c r="M1253">
        <f t="shared" si="58"/>
        <v>0</v>
      </c>
      <c r="N1253">
        <f t="shared" si="59"/>
        <v>0</v>
      </c>
    </row>
    <row r="1254" spans="1:14">
      <c r="A1254">
        <v>7636</v>
      </c>
      <c r="B1254" t="s">
        <v>989</v>
      </c>
      <c r="C1254" t="s">
        <v>754</v>
      </c>
      <c r="D1254" t="s">
        <v>823</v>
      </c>
      <c r="E1254">
        <v>171993</v>
      </c>
      <c r="G1254" s="2">
        <v>0.72986111111111107</v>
      </c>
      <c r="H1254" s="2">
        <v>0.73124999999999996</v>
      </c>
      <c r="J1254">
        <v>3.3314914649075801E-2</v>
      </c>
      <c r="K1254" t="s">
        <v>834</v>
      </c>
      <c r="L1254" t="str">
        <f t="shared" si="57"/>
        <v>33</v>
      </c>
      <c r="M1254">
        <f t="shared" si="58"/>
        <v>0</v>
      </c>
      <c r="N1254">
        <f t="shared" si="59"/>
        <v>0</v>
      </c>
    </row>
    <row r="1255" spans="1:14">
      <c r="A1255">
        <v>7636</v>
      </c>
      <c r="B1255" t="s">
        <v>989</v>
      </c>
      <c r="C1255" t="s">
        <v>754</v>
      </c>
      <c r="D1255" t="s">
        <v>823</v>
      </c>
      <c r="E1255">
        <v>171993</v>
      </c>
      <c r="G1255" s="2">
        <v>0.73124999999999996</v>
      </c>
      <c r="H1255" s="2">
        <v>0.74305555555555547</v>
      </c>
      <c r="J1255">
        <v>0.28317677451714401</v>
      </c>
      <c r="K1255" t="s">
        <v>798</v>
      </c>
      <c r="L1255" t="str">
        <f t="shared" si="57"/>
        <v>33</v>
      </c>
      <c r="M1255">
        <f t="shared" si="58"/>
        <v>0</v>
      </c>
      <c r="N1255">
        <f t="shared" si="59"/>
        <v>0</v>
      </c>
    </row>
    <row r="1256" spans="1:14">
      <c r="A1256">
        <v>7636</v>
      </c>
      <c r="B1256" t="s">
        <v>989</v>
      </c>
      <c r="C1256" t="s">
        <v>754</v>
      </c>
      <c r="D1256" t="s">
        <v>823</v>
      </c>
      <c r="E1256">
        <v>171993</v>
      </c>
      <c r="G1256" s="2">
        <v>0.74305555555555547</v>
      </c>
      <c r="H1256" s="2">
        <v>0.74513888888888891</v>
      </c>
      <c r="J1256">
        <v>4.9972371973613802E-2</v>
      </c>
      <c r="K1256" t="s">
        <v>813</v>
      </c>
      <c r="L1256" t="str">
        <f t="shared" si="57"/>
        <v>33</v>
      </c>
      <c r="M1256">
        <f t="shared" si="58"/>
        <v>0</v>
      </c>
      <c r="N1256">
        <f t="shared" si="59"/>
        <v>0</v>
      </c>
    </row>
    <row r="1257" spans="1:14">
      <c r="A1257">
        <v>7636</v>
      </c>
      <c r="B1257" t="s">
        <v>989</v>
      </c>
      <c r="C1257" t="s">
        <v>754</v>
      </c>
      <c r="D1257" t="s">
        <v>823</v>
      </c>
      <c r="E1257">
        <v>171993</v>
      </c>
      <c r="G1257" s="2">
        <v>0.74513888888888891</v>
      </c>
      <c r="H1257" s="2">
        <v>0.89583333333333337</v>
      </c>
      <c r="J1257">
        <v>3.6146682394247298</v>
      </c>
      <c r="K1257" t="s">
        <v>772</v>
      </c>
      <c r="L1257" t="str">
        <f t="shared" si="57"/>
        <v>33</v>
      </c>
      <c r="M1257">
        <f t="shared" si="58"/>
        <v>0</v>
      </c>
      <c r="N1257">
        <f t="shared" si="59"/>
        <v>0</v>
      </c>
    </row>
    <row r="1258" spans="1:14">
      <c r="A1258">
        <v>7287</v>
      </c>
      <c r="B1258" t="s">
        <v>1261</v>
      </c>
      <c r="C1258" t="s">
        <v>754</v>
      </c>
      <c r="D1258" t="s">
        <v>835</v>
      </c>
      <c r="E1258">
        <v>30754</v>
      </c>
      <c r="G1258" s="2">
        <v>0.13125000000000001</v>
      </c>
      <c r="H1258" s="2">
        <v>0.52083333333333337</v>
      </c>
      <c r="J1258">
        <v>8.8448190710765608</v>
      </c>
      <c r="K1258" t="s">
        <v>836</v>
      </c>
      <c r="L1258" t="str">
        <f t="shared" si="57"/>
        <v>33</v>
      </c>
      <c r="M1258">
        <f t="shared" si="58"/>
        <v>0</v>
      </c>
      <c r="N1258">
        <f t="shared" si="59"/>
        <v>0</v>
      </c>
    </row>
    <row r="1259" spans="1:14">
      <c r="A1259">
        <v>7178</v>
      </c>
      <c r="B1259" t="s">
        <v>1262</v>
      </c>
      <c r="C1259" t="s">
        <v>754</v>
      </c>
      <c r="D1259" t="s">
        <v>841</v>
      </c>
      <c r="E1259">
        <v>18926</v>
      </c>
      <c r="G1259" s="2">
        <v>0.21388888888888891</v>
      </c>
      <c r="H1259" s="2">
        <v>0.41805555555555557</v>
      </c>
      <c r="J1259">
        <v>4.65718934063365</v>
      </c>
      <c r="K1259" t="s">
        <v>773</v>
      </c>
      <c r="L1259" t="str">
        <f t="shared" si="57"/>
        <v>33</v>
      </c>
      <c r="M1259">
        <f t="shared" si="58"/>
        <v>0</v>
      </c>
      <c r="N1259">
        <f t="shared" si="59"/>
        <v>0</v>
      </c>
    </row>
    <row r="1260" spans="1:14">
      <c r="A1260">
        <v>7178</v>
      </c>
      <c r="B1260" t="s">
        <v>1262</v>
      </c>
      <c r="C1260" t="s">
        <v>754</v>
      </c>
      <c r="D1260" t="s">
        <v>841</v>
      </c>
      <c r="E1260">
        <v>18926</v>
      </c>
      <c r="G1260" s="2">
        <v>0.4201388888888889</v>
      </c>
      <c r="H1260" s="2">
        <v>0.43958333333333338</v>
      </c>
      <c r="J1260">
        <v>0.44354184196510998</v>
      </c>
      <c r="K1260" t="s">
        <v>833</v>
      </c>
      <c r="L1260" t="str">
        <f t="shared" si="57"/>
        <v>33</v>
      </c>
      <c r="M1260">
        <f t="shared" si="58"/>
        <v>0</v>
      </c>
      <c r="N1260">
        <f t="shared" si="59"/>
        <v>0</v>
      </c>
    </row>
    <row r="1261" spans="1:14">
      <c r="A1261">
        <v>7178</v>
      </c>
      <c r="B1261" t="s">
        <v>1262</v>
      </c>
      <c r="C1261" t="s">
        <v>754</v>
      </c>
      <c r="D1261" t="s">
        <v>841</v>
      </c>
      <c r="E1261">
        <v>18926</v>
      </c>
      <c r="G1261" s="2">
        <v>0.45</v>
      </c>
      <c r="H1261" s="2">
        <v>0.60972222222222217</v>
      </c>
      <c r="J1261">
        <v>3.6433794161419701</v>
      </c>
      <c r="K1261" t="s">
        <v>990</v>
      </c>
      <c r="L1261" t="str">
        <f t="shared" si="57"/>
        <v>33</v>
      </c>
      <c r="M1261">
        <f t="shared" si="58"/>
        <v>0</v>
      </c>
      <c r="N1261">
        <f t="shared" si="59"/>
        <v>0</v>
      </c>
    </row>
    <row r="1262" spans="1:14">
      <c r="A1262">
        <v>7178</v>
      </c>
      <c r="B1262" t="s">
        <v>1262</v>
      </c>
      <c r="C1262" t="s">
        <v>754</v>
      </c>
      <c r="D1262" t="s">
        <v>841</v>
      </c>
      <c r="E1262">
        <v>18926</v>
      </c>
      <c r="G1262" s="2">
        <v>0.60972222222222217</v>
      </c>
      <c r="H1262" s="2">
        <v>0.60972222222222217</v>
      </c>
      <c r="J1262">
        <v>0</v>
      </c>
      <c r="K1262" t="s">
        <v>773</v>
      </c>
      <c r="L1262" t="str">
        <f t="shared" si="57"/>
        <v>33</v>
      </c>
      <c r="M1262">
        <f t="shared" si="58"/>
        <v>0</v>
      </c>
      <c r="N1262">
        <f t="shared" si="59"/>
        <v>0</v>
      </c>
    </row>
    <row r="1263" spans="1:14">
      <c r="A1263">
        <v>7178</v>
      </c>
      <c r="B1263" t="s">
        <v>1262</v>
      </c>
      <c r="C1263" t="s">
        <v>754</v>
      </c>
      <c r="D1263" t="s">
        <v>841</v>
      </c>
      <c r="E1263">
        <v>18926</v>
      </c>
      <c r="G1263" s="2">
        <v>0.60972222222222217</v>
      </c>
      <c r="H1263" s="2">
        <v>0.61250000000000004</v>
      </c>
      <c r="J1263">
        <v>6.3363120280730004E-2</v>
      </c>
      <c r="K1263" t="s">
        <v>759</v>
      </c>
      <c r="L1263" t="str">
        <f t="shared" si="57"/>
        <v>33</v>
      </c>
      <c r="M1263">
        <f t="shared" si="58"/>
        <v>0</v>
      </c>
      <c r="N1263">
        <f t="shared" si="59"/>
        <v>0</v>
      </c>
    </row>
    <row r="1264" spans="1:14">
      <c r="A1264">
        <v>7178</v>
      </c>
      <c r="B1264" t="s">
        <v>1262</v>
      </c>
      <c r="C1264" t="s">
        <v>754</v>
      </c>
      <c r="D1264" t="s">
        <v>841</v>
      </c>
      <c r="E1264">
        <v>18926</v>
      </c>
      <c r="G1264" s="2">
        <v>0.61250000000000004</v>
      </c>
      <c r="H1264" s="2">
        <v>0.625</v>
      </c>
      <c r="J1264">
        <v>0.28513404126328501</v>
      </c>
      <c r="K1264" t="s">
        <v>773</v>
      </c>
      <c r="L1264" t="str">
        <f t="shared" si="57"/>
        <v>33</v>
      </c>
      <c r="M1264">
        <f t="shared" si="58"/>
        <v>0</v>
      </c>
      <c r="N1264">
        <f t="shared" si="59"/>
        <v>0</v>
      </c>
    </row>
    <row r="1265" spans="1:14">
      <c r="A1265">
        <v>7059</v>
      </c>
      <c r="B1265" t="s">
        <v>991</v>
      </c>
      <c r="C1265" t="s">
        <v>754</v>
      </c>
      <c r="D1265" t="s">
        <v>832</v>
      </c>
      <c r="E1265">
        <v>254892</v>
      </c>
      <c r="G1265" s="2">
        <v>0.22083333333333333</v>
      </c>
      <c r="H1265" s="2">
        <v>0.22291666666666665</v>
      </c>
      <c r="J1265">
        <v>4.6842745427655701E-2</v>
      </c>
      <c r="K1265" t="s">
        <v>767</v>
      </c>
      <c r="L1265" t="str">
        <f t="shared" si="57"/>
        <v>37</v>
      </c>
      <c r="M1265">
        <f t="shared" si="58"/>
        <v>0</v>
      </c>
      <c r="N1265">
        <f t="shared" si="59"/>
        <v>0</v>
      </c>
    </row>
    <row r="1266" spans="1:14">
      <c r="A1266">
        <v>7059</v>
      </c>
      <c r="B1266" t="s">
        <v>991</v>
      </c>
      <c r="C1266" t="s">
        <v>754</v>
      </c>
      <c r="D1266" t="s">
        <v>832</v>
      </c>
      <c r="E1266">
        <v>254892</v>
      </c>
      <c r="G1266" s="2">
        <v>0.22291666666666665</v>
      </c>
      <c r="H1266" s="2">
        <v>0.24513888888888888</v>
      </c>
      <c r="J1266">
        <v>0.49965595122832701</v>
      </c>
      <c r="K1266" t="s">
        <v>827</v>
      </c>
      <c r="L1266" t="str">
        <f t="shared" si="57"/>
        <v>37</v>
      </c>
      <c r="M1266">
        <f t="shared" si="58"/>
        <v>0</v>
      </c>
      <c r="N1266">
        <f t="shared" si="59"/>
        <v>0</v>
      </c>
    </row>
    <row r="1267" spans="1:14">
      <c r="A1267">
        <v>7059</v>
      </c>
      <c r="B1267" t="s">
        <v>991</v>
      </c>
      <c r="C1267" t="s">
        <v>754</v>
      </c>
      <c r="D1267" t="s">
        <v>832</v>
      </c>
      <c r="E1267">
        <v>254892</v>
      </c>
      <c r="G1267" s="2">
        <v>0.24513888888888888</v>
      </c>
      <c r="H1267" s="2">
        <v>0.28680555555555554</v>
      </c>
      <c r="J1267">
        <v>0.93685490855311404</v>
      </c>
      <c r="K1267" t="s">
        <v>767</v>
      </c>
      <c r="L1267" t="str">
        <f t="shared" si="57"/>
        <v>37</v>
      </c>
      <c r="M1267">
        <f t="shared" si="58"/>
        <v>0</v>
      </c>
      <c r="N1267">
        <f t="shared" si="59"/>
        <v>0</v>
      </c>
    </row>
    <row r="1268" spans="1:14">
      <c r="A1268">
        <v>7059</v>
      </c>
      <c r="B1268" t="s">
        <v>991</v>
      </c>
      <c r="C1268" t="s">
        <v>754</v>
      </c>
      <c r="D1268" t="s">
        <v>832</v>
      </c>
      <c r="E1268">
        <v>254892</v>
      </c>
      <c r="G1268" s="2">
        <v>0.28680555555555554</v>
      </c>
      <c r="H1268" s="2">
        <v>0.29305555555555557</v>
      </c>
      <c r="J1268">
        <v>0.14052823628296701</v>
      </c>
      <c r="K1268" t="s">
        <v>827</v>
      </c>
      <c r="L1268" t="str">
        <f t="shared" si="57"/>
        <v>37</v>
      </c>
      <c r="M1268">
        <f t="shared" si="58"/>
        <v>0</v>
      </c>
      <c r="N1268">
        <f t="shared" si="59"/>
        <v>0</v>
      </c>
    </row>
    <row r="1269" spans="1:14">
      <c r="A1269">
        <v>7059</v>
      </c>
      <c r="B1269" t="s">
        <v>991</v>
      </c>
      <c r="C1269" t="s">
        <v>754</v>
      </c>
      <c r="D1269" t="s">
        <v>832</v>
      </c>
      <c r="E1269">
        <v>254892</v>
      </c>
      <c r="G1269" s="2">
        <v>0.29305555555555557</v>
      </c>
      <c r="H1269" s="2">
        <v>0.30208333333333331</v>
      </c>
      <c r="J1269">
        <v>0.20298523018650799</v>
      </c>
      <c r="K1269" t="s">
        <v>767</v>
      </c>
      <c r="L1269" t="str">
        <f t="shared" si="57"/>
        <v>37</v>
      </c>
      <c r="M1269">
        <f t="shared" si="58"/>
        <v>0</v>
      </c>
      <c r="N1269">
        <f t="shared" si="59"/>
        <v>0</v>
      </c>
    </row>
    <row r="1270" spans="1:14">
      <c r="A1270">
        <v>7059</v>
      </c>
      <c r="B1270" t="s">
        <v>991</v>
      </c>
      <c r="C1270" t="s">
        <v>754</v>
      </c>
      <c r="D1270" t="s">
        <v>832</v>
      </c>
      <c r="E1270">
        <v>254892</v>
      </c>
      <c r="G1270" s="2">
        <v>0.30208333333333331</v>
      </c>
      <c r="H1270" s="2">
        <v>0.32500000000000001</v>
      </c>
      <c r="J1270">
        <v>0.51527019970421195</v>
      </c>
      <c r="K1270" t="s">
        <v>827</v>
      </c>
      <c r="L1270" t="str">
        <f t="shared" si="57"/>
        <v>37</v>
      </c>
      <c r="M1270">
        <f t="shared" si="58"/>
        <v>0</v>
      </c>
      <c r="N1270">
        <f t="shared" si="59"/>
        <v>0</v>
      </c>
    </row>
    <row r="1271" spans="1:14">
      <c r="A1271">
        <v>7059</v>
      </c>
      <c r="B1271" t="s">
        <v>991</v>
      </c>
      <c r="C1271" t="s">
        <v>754</v>
      </c>
      <c r="D1271" t="s">
        <v>832</v>
      </c>
      <c r="E1271">
        <v>254892</v>
      </c>
      <c r="G1271" s="2">
        <v>0.32500000000000001</v>
      </c>
      <c r="H1271" s="2">
        <v>0.36041666666666666</v>
      </c>
      <c r="J1271">
        <v>0.79632667227014697</v>
      </c>
      <c r="K1271" t="s">
        <v>768</v>
      </c>
      <c r="L1271" t="str">
        <f t="shared" si="57"/>
        <v>46</v>
      </c>
      <c r="M1271">
        <f t="shared" si="58"/>
        <v>0</v>
      </c>
      <c r="N1271">
        <f t="shared" si="59"/>
        <v>0</v>
      </c>
    </row>
    <row r="1272" spans="1:14">
      <c r="A1272">
        <v>7059</v>
      </c>
      <c r="B1272" t="s">
        <v>991</v>
      </c>
      <c r="C1272" t="s">
        <v>754</v>
      </c>
      <c r="D1272" t="s">
        <v>832</v>
      </c>
      <c r="E1272">
        <v>254892</v>
      </c>
      <c r="G1272" s="2">
        <v>0.36041666666666666</v>
      </c>
      <c r="H1272" s="2">
        <v>0.42291666666666666</v>
      </c>
      <c r="J1272">
        <v>1.40528236282967</v>
      </c>
      <c r="K1272" t="s">
        <v>951</v>
      </c>
      <c r="L1272" t="str">
        <f t="shared" si="57"/>
        <v>37</v>
      </c>
      <c r="M1272">
        <f t="shared" si="58"/>
        <v>0</v>
      </c>
      <c r="N1272">
        <f t="shared" si="59"/>
        <v>0</v>
      </c>
    </row>
    <row r="1273" spans="1:14">
      <c r="A1273">
        <v>7059</v>
      </c>
      <c r="B1273" t="s">
        <v>991</v>
      </c>
      <c r="C1273" t="s">
        <v>754</v>
      </c>
      <c r="D1273" t="s">
        <v>832</v>
      </c>
      <c r="E1273">
        <v>254892</v>
      </c>
      <c r="G1273" s="2">
        <v>0.42291666666666666</v>
      </c>
      <c r="H1273" s="2">
        <v>0.42430555555555555</v>
      </c>
      <c r="J1273">
        <v>3.12284969517704E-2</v>
      </c>
      <c r="K1273" t="s">
        <v>767</v>
      </c>
      <c r="L1273" t="str">
        <f t="shared" si="57"/>
        <v>37</v>
      </c>
      <c r="M1273">
        <f t="shared" si="58"/>
        <v>0</v>
      </c>
      <c r="N1273">
        <f t="shared" si="59"/>
        <v>0</v>
      </c>
    </row>
    <row r="1274" spans="1:14">
      <c r="A1274">
        <v>7059</v>
      </c>
      <c r="B1274" t="s">
        <v>991</v>
      </c>
      <c r="C1274" t="s">
        <v>754</v>
      </c>
      <c r="D1274" t="s">
        <v>832</v>
      </c>
      <c r="E1274">
        <v>254892</v>
      </c>
      <c r="G1274" s="2">
        <v>0.42430555555555555</v>
      </c>
      <c r="H1274" s="2">
        <v>0.45277777777777778</v>
      </c>
      <c r="J1274">
        <v>0.64018418751129402</v>
      </c>
      <c r="K1274" t="s">
        <v>768</v>
      </c>
      <c r="L1274" t="str">
        <f t="shared" si="57"/>
        <v>46</v>
      </c>
      <c r="M1274">
        <f t="shared" si="58"/>
        <v>0</v>
      </c>
      <c r="N1274">
        <f t="shared" si="59"/>
        <v>0</v>
      </c>
    </row>
    <row r="1275" spans="1:14">
      <c r="A1275">
        <v>7059</v>
      </c>
      <c r="B1275" t="s">
        <v>991</v>
      </c>
      <c r="C1275" t="s">
        <v>754</v>
      </c>
      <c r="D1275" t="s">
        <v>832</v>
      </c>
      <c r="E1275">
        <v>254892</v>
      </c>
      <c r="G1275" s="2">
        <v>0.45277777777777778</v>
      </c>
      <c r="H1275" s="2">
        <v>0.48819444444444443</v>
      </c>
      <c r="J1275">
        <v>0.79632667227014697</v>
      </c>
      <c r="K1275" t="s">
        <v>951</v>
      </c>
      <c r="L1275" t="str">
        <f t="shared" si="57"/>
        <v>37</v>
      </c>
      <c r="M1275">
        <f t="shared" si="58"/>
        <v>0</v>
      </c>
      <c r="N1275">
        <f t="shared" si="59"/>
        <v>0</v>
      </c>
    </row>
    <row r="1276" spans="1:14">
      <c r="A1276">
        <v>7059</v>
      </c>
      <c r="B1276" t="s">
        <v>991</v>
      </c>
      <c r="C1276" t="s">
        <v>754</v>
      </c>
      <c r="D1276" t="s">
        <v>832</v>
      </c>
      <c r="E1276">
        <v>254892</v>
      </c>
      <c r="G1276" s="2">
        <v>0.48819444444444443</v>
      </c>
      <c r="H1276" s="2">
        <v>0.54236111111111118</v>
      </c>
      <c r="J1276">
        <v>1.2179113811190401</v>
      </c>
      <c r="K1276" t="s">
        <v>778</v>
      </c>
      <c r="L1276" t="str">
        <f t="shared" si="57"/>
        <v>37</v>
      </c>
      <c r="M1276">
        <f t="shared" si="58"/>
        <v>0</v>
      </c>
      <c r="N1276">
        <f t="shared" si="59"/>
        <v>0</v>
      </c>
    </row>
    <row r="1277" spans="1:14">
      <c r="A1277">
        <v>7343</v>
      </c>
      <c r="B1277" t="s">
        <v>992</v>
      </c>
      <c r="C1277" t="s">
        <v>754</v>
      </c>
      <c r="D1277" t="s">
        <v>905</v>
      </c>
      <c r="E1277">
        <v>648964</v>
      </c>
      <c r="G1277" s="2">
        <v>0.50416666666666665</v>
      </c>
      <c r="H1277" s="2">
        <v>0.55555555555555558</v>
      </c>
      <c r="J1277">
        <v>1.1493867229650201</v>
      </c>
      <c r="K1277" t="s">
        <v>840</v>
      </c>
      <c r="L1277" t="str">
        <f t="shared" si="57"/>
        <v>33</v>
      </c>
      <c r="M1277">
        <f t="shared" si="58"/>
        <v>0</v>
      </c>
      <c r="N1277">
        <f t="shared" si="59"/>
        <v>0</v>
      </c>
    </row>
    <row r="1278" spans="1:14">
      <c r="A1278">
        <v>7343</v>
      </c>
      <c r="B1278" t="s">
        <v>992</v>
      </c>
      <c r="C1278" t="s">
        <v>754</v>
      </c>
      <c r="D1278" t="s">
        <v>905</v>
      </c>
      <c r="E1278">
        <v>648964</v>
      </c>
      <c r="G1278" s="2">
        <v>0.55555555555555558</v>
      </c>
      <c r="H1278" s="2">
        <v>0.8125</v>
      </c>
      <c r="J1278">
        <v>5.74693361482516</v>
      </c>
      <c r="K1278" t="s">
        <v>785</v>
      </c>
      <c r="L1278" t="str">
        <f t="shared" si="57"/>
        <v>33</v>
      </c>
      <c r="M1278">
        <f t="shared" si="58"/>
        <v>0</v>
      </c>
      <c r="N1278">
        <f t="shared" si="59"/>
        <v>0</v>
      </c>
    </row>
    <row r="1279" spans="1:14">
      <c r="A1279">
        <v>7298</v>
      </c>
      <c r="B1279" t="s">
        <v>1263</v>
      </c>
      <c r="C1279" t="s">
        <v>754</v>
      </c>
      <c r="D1279" t="s">
        <v>766</v>
      </c>
      <c r="E1279">
        <v>270777</v>
      </c>
      <c r="G1279" s="2">
        <v>0.13125000000000001</v>
      </c>
      <c r="H1279" s="2">
        <v>0.1361111111111111</v>
      </c>
      <c r="J1279">
        <v>0.109175832784243</v>
      </c>
      <c r="K1279" t="s">
        <v>767</v>
      </c>
      <c r="L1279" t="str">
        <f t="shared" si="57"/>
        <v>37</v>
      </c>
      <c r="M1279">
        <f t="shared" si="58"/>
        <v>0</v>
      </c>
      <c r="N1279">
        <f t="shared" si="59"/>
        <v>0</v>
      </c>
    </row>
    <row r="1280" spans="1:14">
      <c r="A1280">
        <v>7298</v>
      </c>
      <c r="B1280" t="s">
        <v>1263</v>
      </c>
      <c r="C1280" t="s">
        <v>754</v>
      </c>
      <c r="D1280" t="s">
        <v>766</v>
      </c>
      <c r="E1280">
        <v>270777</v>
      </c>
      <c r="G1280" s="2">
        <v>0.1361111111111111</v>
      </c>
      <c r="H1280" s="2">
        <v>0.17499999999999999</v>
      </c>
      <c r="J1280">
        <v>0.87340666227394403</v>
      </c>
      <c r="K1280" t="s">
        <v>827</v>
      </c>
      <c r="L1280" t="str">
        <f t="shared" si="57"/>
        <v>37</v>
      </c>
      <c r="M1280">
        <f t="shared" si="58"/>
        <v>0</v>
      </c>
      <c r="N1280">
        <f t="shared" si="59"/>
        <v>0</v>
      </c>
    </row>
    <row r="1281" spans="1:14">
      <c r="A1281">
        <v>7298</v>
      </c>
      <c r="B1281" t="s">
        <v>1263</v>
      </c>
      <c r="C1281" t="s">
        <v>754</v>
      </c>
      <c r="D1281" t="s">
        <v>766</v>
      </c>
      <c r="E1281">
        <v>270777</v>
      </c>
      <c r="G1281" s="2">
        <v>0.17499999999999999</v>
      </c>
      <c r="H1281" s="2">
        <v>0.3666666666666667</v>
      </c>
      <c r="J1281">
        <v>4.3046471212072897</v>
      </c>
      <c r="K1281" t="s">
        <v>767</v>
      </c>
      <c r="L1281" t="str">
        <f t="shared" si="57"/>
        <v>37</v>
      </c>
      <c r="M1281">
        <f t="shared" si="58"/>
        <v>0</v>
      </c>
      <c r="N1281">
        <f t="shared" si="59"/>
        <v>0</v>
      </c>
    </row>
    <row r="1282" spans="1:14">
      <c r="A1282">
        <v>7298</v>
      </c>
      <c r="B1282" t="s">
        <v>1263</v>
      </c>
      <c r="C1282" t="s">
        <v>754</v>
      </c>
      <c r="D1282" t="s">
        <v>766</v>
      </c>
      <c r="E1282">
        <v>270777</v>
      </c>
      <c r="G1282" s="2">
        <v>0.3666666666666667</v>
      </c>
      <c r="H1282" s="2">
        <v>0.45833333333333331</v>
      </c>
      <c r="J1282">
        <v>2.0587442753600098</v>
      </c>
      <c r="K1282" t="s">
        <v>870</v>
      </c>
      <c r="L1282" t="str">
        <f t="shared" ref="L1282:L1345" si="60">RIGHT(LEFT(K1282,4),2)</f>
        <v>37</v>
      </c>
      <c r="M1282">
        <f t="shared" ref="M1282:M1345" si="61">IF(I1282=0,0,I1282-H1282)+IF(F1282=0,0,G1282-F1282)</f>
        <v>0</v>
      </c>
      <c r="N1282">
        <f t="shared" ref="N1282:N1345" si="62">(M1282-INT(M1282))*24</f>
        <v>0</v>
      </c>
    </row>
    <row r="1283" spans="1:14">
      <c r="A1283">
        <v>8002</v>
      </c>
      <c r="B1283" t="s">
        <v>993</v>
      </c>
      <c r="C1283" t="s">
        <v>754</v>
      </c>
      <c r="D1283" t="s">
        <v>775</v>
      </c>
      <c r="E1283">
        <v>510446</v>
      </c>
      <c r="G1283" s="2">
        <v>0.33333333333333331</v>
      </c>
      <c r="H1283" s="2">
        <v>0.6875</v>
      </c>
      <c r="J1283">
        <v>8</v>
      </c>
      <c r="K1283" t="s">
        <v>994</v>
      </c>
      <c r="L1283" t="str">
        <f t="shared" si="60"/>
        <v>65</v>
      </c>
      <c r="M1283">
        <f t="shared" si="61"/>
        <v>0</v>
      </c>
      <c r="N1283">
        <f t="shared" si="62"/>
        <v>0</v>
      </c>
    </row>
    <row r="1284" spans="1:14">
      <c r="A1284">
        <v>7253</v>
      </c>
      <c r="B1284" t="s">
        <v>995</v>
      </c>
      <c r="C1284" t="s">
        <v>756</v>
      </c>
      <c r="E1284">
        <v>258606</v>
      </c>
      <c r="G1284" s="2">
        <v>0.41736111111111113</v>
      </c>
      <c r="H1284" s="2">
        <v>0.42638888888888887</v>
      </c>
      <c r="J1284">
        <v>0.21656665340230499</v>
      </c>
      <c r="K1284" t="s">
        <v>780</v>
      </c>
      <c r="L1284" t="str">
        <f t="shared" si="60"/>
        <v>46</v>
      </c>
      <c r="M1284">
        <f t="shared" si="61"/>
        <v>0</v>
      </c>
      <c r="N1284">
        <f t="shared" si="62"/>
        <v>0</v>
      </c>
    </row>
    <row r="1285" spans="1:14">
      <c r="A1285">
        <v>7253</v>
      </c>
      <c r="B1285" t="s">
        <v>995</v>
      </c>
      <c r="C1285" t="s">
        <v>756</v>
      </c>
      <c r="E1285">
        <v>258606</v>
      </c>
      <c r="G1285" s="2">
        <v>0.42638888888888887</v>
      </c>
      <c r="H1285" s="2">
        <v>0.46319444444444446</v>
      </c>
      <c r="J1285">
        <v>0.88292558694785805</v>
      </c>
      <c r="K1285" t="s">
        <v>778</v>
      </c>
      <c r="L1285" t="str">
        <f t="shared" si="60"/>
        <v>37</v>
      </c>
      <c r="M1285">
        <f t="shared" si="61"/>
        <v>0</v>
      </c>
      <c r="N1285">
        <f t="shared" si="62"/>
        <v>0</v>
      </c>
    </row>
    <row r="1286" spans="1:14">
      <c r="A1286">
        <v>7253</v>
      </c>
      <c r="B1286" t="s">
        <v>995</v>
      </c>
      <c r="C1286" t="s">
        <v>756</v>
      </c>
      <c r="E1286">
        <v>258606</v>
      </c>
      <c r="G1286" s="2">
        <v>0.46319444444444446</v>
      </c>
      <c r="H1286" s="2">
        <v>0.5</v>
      </c>
      <c r="J1286">
        <v>0.88292558694785805</v>
      </c>
      <c r="K1286" t="s">
        <v>996</v>
      </c>
      <c r="L1286" t="str">
        <f t="shared" si="60"/>
        <v>46</v>
      </c>
      <c r="M1286">
        <f t="shared" si="61"/>
        <v>0</v>
      </c>
      <c r="N1286">
        <f t="shared" si="62"/>
        <v>0</v>
      </c>
    </row>
    <row r="1287" spans="1:14">
      <c r="A1287">
        <v>7253</v>
      </c>
      <c r="B1287" t="s">
        <v>995</v>
      </c>
      <c r="C1287" t="s">
        <v>756</v>
      </c>
      <c r="E1287">
        <v>258606</v>
      </c>
      <c r="G1287" s="2">
        <v>0.5</v>
      </c>
      <c r="H1287" s="2">
        <v>0.5083333333333333</v>
      </c>
      <c r="J1287">
        <v>0.19990768006366599</v>
      </c>
      <c r="K1287" t="s">
        <v>817</v>
      </c>
      <c r="L1287" t="str">
        <f t="shared" si="60"/>
        <v>46</v>
      </c>
      <c r="M1287">
        <f t="shared" si="61"/>
        <v>0</v>
      </c>
      <c r="N1287">
        <f t="shared" si="62"/>
        <v>0</v>
      </c>
    </row>
    <row r="1288" spans="1:14">
      <c r="A1288">
        <v>7253</v>
      </c>
      <c r="B1288" t="s">
        <v>995</v>
      </c>
      <c r="C1288" t="s">
        <v>756</v>
      </c>
      <c r="E1288">
        <v>258606</v>
      </c>
      <c r="G1288" s="2">
        <v>0.5083333333333333</v>
      </c>
      <c r="H1288" s="2">
        <v>0.51111111111111118</v>
      </c>
      <c r="J1288">
        <v>6.6635893354555303E-2</v>
      </c>
      <c r="K1288" t="s">
        <v>877</v>
      </c>
      <c r="L1288" t="str">
        <f t="shared" si="60"/>
        <v>46</v>
      </c>
      <c r="M1288">
        <f t="shared" si="61"/>
        <v>0</v>
      </c>
      <c r="N1288">
        <f t="shared" si="62"/>
        <v>0</v>
      </c>
    </row>
    <row r="1289" spans="1:14">
      <c r="A1289">
        <v>7253</v>
      </c>
      <c r="B1289" t="s">
        <v>995</v>
      </c>
      <c r="C1289" t="s">
        <v>756</v>
      </c>
      <c r="E1289">
        <v>258606</v>
      </c>
      <c r="G1289" s="2">
        <v>0.51111111111111118</v>
      </c>
      <c r="H1289" s="2">
        <v>0.52708333333333335</v>
      </c>
      <c r="J1289">
        <v>0.38315638678869202</v>
      </c>
      <c r="K1289" t="s">
        <v>817</v>
      </c>
      <c r="L1289" t="str">
        <f t="shared" si="60"/>
        <v>46</v>
      </c>
      <c r="M1289">
        <f t="shared" si="61"/>
        <v>0</v>
      </c>
      <c r="N1289">
        <f t="shared" si="62"/>
        <v>0</v>
      </c>
    </row>
    <row r="1290" spans="1:14">
      <c r="A1290">
        <v>7253</v>
      </c>
      <c r="B1290" t="s">
        <v>995</v>
      </c>
      <c r="C1290" t="s">
        <v>756</v>
      </c>
      <c r="E1290">
        <v>258606</v>
      </c>
      <c r="G1290" s="2">
        <v>0.52708333333333335</v>
      </c>
      <c r="H1290" s="2">
        <v>0.54861111111111105</v>
      </c>
      <c r="J1290">
        <v>0.51642817349780401</v>
      </c>
      <c r="K1290" t="s">
        <v>816</v>
      </c>
      <c r="L1290" t="str">
        <f t="shared" si="60"/>
        <v>46</v>
      </c>
      <c r="M1290">
        <f t="shared" si="61"/>
        <v>0</v>
      </c>
      <c r="N1290">
        <f t="shared" si="62"/>
        <v>0</v>
      </c>
    </row>
    <row r="1291" spans="1:14">
      <c r="A1291">
        <v>7253</v>
      </c>
      <c r="B1291" t="s">
        <v>995</v>
      </c>
      <c r="C1291" t="s">
        <v>756</v>
      </c>
      <c r="E1291">
        <v>258606</v>
      </c>
      <c r="G1291" s="2">
        <v>0.54861111111111105</v>
      </c>
      <c r="H1291" s="2">
        <v>0.55069444444444449</v>
      </c>
      <c r="J1291">
        <v>4.9976920015916498E-2</v>
      </c>
      <c r="K1291" t="s">
        <v>815</v>
      </c>
      <c r="L1291" t="str">
        <f t="shared" si="60"/>
        <v>46</v>
      </c>
      <c r="M1291">
        <f t="shared" si="61"/>
        <v>0</v>
      </c>
      <c r="N1291">
        <f t="shared" si="62"/>
        <v>0</v>
      </c>
    </row>
    <row r="1292" spans="1:14">
      <c r="A1292">
        <v>7253</v>
      </c>
      <c r="B1292" t="s">
        <v>995</v>
      </c>
      <c r="C1292" t="s">
        <v>756</v>
      </c>
      <c r="E1292">
        <v>258606</v>
      </c>
      <c r="G1292" s="2">
        <v>0.55069444444444449</v>
      </c>
      <c r="H1292" s="2">
        <v>0.55208333333333337</v>
      </c>
      <c r="J1292">
        <v>3.3317946677277603E-2</v>
      </c>
      <c r="K1292" t="s">
        <v>816</v>
      </c>
      <c r="L1292" t="str">
        <f t="shared" si="60"/>
        <v>46</v>
      </c>
      <c r="M1292">
        <f t="shared" si="61"/>
        <v>0</v>
      </c>
      <c r="N1292">
        <f t="shared" si="62"/>
        <v>0</v>
      </c>
    </row>
    <row r="1293" spans="1:14">
      <c r="A1293">
        <v>7253</v>
      </c>
      <c r="B1293" t="s">
        <v>995</v>
      </c>
      <c r="C1293" t="s">
        <v>756</v>
      </c>
      <c r="E1293">
        <v>258606</v>
      </c>
      <c r="G1293" s="2">
        <v>0.55208333333333337</v>
      </c>
      <c r="H1293" s="2">
        <v>0.55208333333333337</v>
      </c>
      <c r="J1293">
        <v>0</v>
      </c>
      <c r="K1293" t="s">
        <v>815</v>
      </c>
      <c r="L1293" t="str">
        <f t="shared" si="60"/>
        <v>46</v>
      </c>
      <c r="M1293">
        <f t="shared" si="61"/>
        <v>0</v>
      </c>
      <c r="N1293">
        <f t="shared" si="62"/>
        <v>0</v>
      </c>
    </row>
    <row r="1294" spans="1:14">
      <c r="A1294">
        <v>7253</v>
      </c>
      <c r="B1294" t="s">
        <v>995</v>
      </c>
      <c r="C1294" t="s">
        <v>756</v>
      </c>
      <c r="E1294">
        <v>258606</v>
      </c>
      <c r="G1294" s="2">
        <v>0.55208333333333337</v>
      </c>
      <c r="H1294" s="2">
        <v>0.55208333333333337</v>
      </c>
      <c r="J1294">
        <v>0</v>
      </c>
      <c r="K1294" t="s">
        <v>817</v>
      </c>
      <c r="L1294" t="str">
        <f t="shared" si="60"/>
        <v>46</v>
      </c>
      <c r="M1294">
        <f t="shared" si="61"/>
        <v>0</v>
      </c>
      <c r="N1294">
        <f t="shared" si="62"/>
        <v>0</v>
      </c>
    </row>
    <row r="1295" spans="1:14">
      <c r="A1295">
        <v>7253</v>
      </c>
      <c r="B1295" t="s">
        <v>995</v>
      </c>
      <c r="C1295" t="s">
        <v>756</v>
      </c>
      <c r="E1295">
        <v>258606</v>
      </c>
      <c r="G1295" s="2">
        <v>0.55208333333333337</v>
      </c>
      <c r="H1295" s="2">
        <v>0.55625000000000002</v>
      </c>
      <c r="J1295">
        <v>9.9953840031832997E-2</v>
      </c>
      <c r="K1295" t="s">
        <v>816</v>
      </c>
      <c r="L1295" t="str">
        <f t="shared" si="60"/>
        <v>46</v>
      </c>
      <c r="M1295">
        <f t="shared" si="61"/>
        <v>0</v>
      </c>
      <c r="N1295">
        <f t="shared" si="62"/>
        <v>0</v>
      </c>
    </row>
    <row r="1296" spans="1:14">
      <c r="A1296">
        <v>7253</v>
      </c>
      <c r="B1296" t="s">
        <v>995</v>
      </c>
      <c r="C1296" t="s">
        <v>756</v>
      </c>
      <c r="E1296">
        <v>258606</v>
      </c>
      <c r="G1296" s="2">
        <v>0.55625000000000002</v>
      </c>
      <c r="H1296" s="2">
        <v>0.55694444444444446</v>
      </c>
      <c r="J1296">
        <v>1.6658973338638802E-2</v>
      </c>
      <c r="K1296" t="s">
        <v>815</v>
      </c>
      <c r="L1296" t="str">
        <f t="shared" si="60"/>
        <v>46</v>
      </c>
      <c r="M1296">
        <f t="shared" si="61"/>
        <v>0</v>
      </c>
      <c r="N1296">
        <f t="shared" si="62"/>
        <v>0</v>
      </c>
    </row>
    <row r="1297" spans="1:14">
      <c r="A1297">
        <v>7253</v>
      </c>
      <c r="B1297" t="s">
        <v>995</v>
      </c>
      <c r="C1297" t="s">
        <v>756</v>
      </c>
      <c r="E1297">
        <v>258606</v>
      </c>
      <c r="G1297" s="2">
        <v>0.55694444444444446</v>
      </c>
      <c r="H1297" s="2">
        <v>0.56041666666666667</v>
      </c>
      <c r="J1297">
        <v>8.3294866693194095E-2</v>
      </c>
      <c r="K1297" t="s">
        <v>817</v>
      </c>
      <c r="L1297" t="str">
        <f t="shared" si="60"/>
        <v>46</v>
      </c>
      <c r="M1297">
        <f t="shared" si="61"/>
        <v>0</v>
      </c>
      <c r="N1297">
        <f t="shared" si="62"/>
        <v>0</v>
      </c>
    </row>
    <row r="1298" spans="1:14">
      <c r="A1298">
        <v>7253</v>
      </c>
      <c r="B1298" t="s">
        <v>995</v>
      </c>
      <c r="C1298" t="s">
        <v>756</v>
      </c>
      <c r="E1298">
        <v>258606</v>
      </c>
      <c r="G1298" s="2">
        <v>0.56041666666666667</v>
      </c>
      <c r="H1298" s="2">
        <v>0.66666666666666663</v>
      </c>
      <c r="J1298">
        <v>2.5488229208117401</v>
      </c>
      <c r="K1298" t="s">
        <v>816</v>
      </c>
      <c r="L1298" t="str">
        <f t="shared" si="60"/>
        <v>46</v>
      </c>
      <c r="M1298">
        <f t="shared" si="61"/>
        <v>0</v>
      </c>
      <c r="N1298">
        <f t="shared" si="62"/>
        <v>0</v>
      </c>
    </row>
    <row r="1299" spans="1:14">
      <c r="A1299">
        <v>7984</v>
      </c>
      <c r="B1299" t="s">
        <v>1264</v>
      </c>
      <c r="C1299" t="s">
        <v>755</v>
      </c>
      <c r="D1299" t="s">
        <v>920</v>
      </c>
      <c r="E1299">
        <v>902338</v>
      </c>
      <c r="G1299" s="2">
        <v>0.4</v>
      </c>
      <c r="H1299" s="2">
        <v>0.42777777777777781</v>
      </c>
      <c r="J1299">
        <v>0.62412956941832998</v>
      </c>
      <c r="K1299" t="s">
        <v>799</v>
      </c>
      <c r="L1299" t="str">
        <f t="shared" si="60"/>
        <v>33</v>
      </c>
      <c r="M1299">
        <f t="shared" si="61"/>
        <v>0</v>
      </c>
      <c r="N1299">
        <f t="shared" si="62"/>
        <v>0</v>
      </c>
    </row>
    <row r="1300" spans="1:14">
      <c r="A1300">
        <v>7984</v>
      </c>
      <c r="B1300" t="s">
        <v>1264</v>
      </c>
      <c r="C1300" t="s">
        <v>755</v>
      </c>
      <c r="D1300" t="s">
        <v>920</v>
      </c>
      <c r="E1300">
        <v>902338</v>
      </c>
      <c r="G1300" s="2">
        <v>0.42777777777777781</v>
      </c>
      <c r="H1300" s="2">
        <v>0.68888888888888899</v>
      </c>
      <c r="J1300">
        <v>5.8668179525323003</v>
      </c>
      <c r="K1300" t="s">
        <v>798</v>
      </c>
      <c r="L1300" t="str">
        <f t="shared" si="60"/>
        <v>33</v>
      </c>
      <c r="M1300">
        <f t="shared" si="61"/>
        <v>0</v>
      </c>
      <c r="N1300">
        <f t="shared" si="62"/>
        <v>0</v>
      </c>
    </row>
    <row r="1301" spans="1:14">
      <c r="A1301">
        <v>7984</v>
      </c>
      <c r="B1301" t="s">
        <v>1264</v>
      </c>
      <c r="C1301" t="s">
        <v>755</v>
      </c>
      <c r="D1301" t="s">
        <v>920</v>
      </c>
      <c r="E1301">
        <v>902338</v>
      </c>
      <c r="G1301" s="2">
        <v>0.68888888888888899</v>
      </c>
      <c r="H1301" s="2">
        <v>0.72916666666666663</v>
      </c>
      <c r="J1301">
        <v>0.90498787565657801</v>
      </c>
      <c r="K1301" t="s">
        <v>759</v>
      </c>
      <c r="L1301" t="str">
        <f t="shared" si="60"/>
        <v>33</v>
      </c>
      <c r="M1301">
        <f t="shared" si="61"/>
        <v>0</v>
      </c>
      <c r="N1301">
        <f t="shared" si="62"/>
        <v>0</v>
      </c>
    </row>
    <row r="1302" spans="1:14">
      <c r="A1302">
        <v>7292</v>
      </c>
      <c r="B1302" t="s">
        <v>997</v>
      </c>
      <c r="C1302" t="s">
        <v>755</v>
      </c>
      <c r="D1302" t="s">
        <v>762</v>
      </c>
      <c r="E1302">
        <v>30748</v>
      </c>
      <c r="G1302" s="2">
        <v>0.28819444444444448</v>
      </c>
      <c r="H1302" s="2">
        <v>0.56180555555555556</v>
      </c>
      <c r="J1302">
        <v>6.17458354220215</v>
      </c>
      <c r="K1302" t="s">
        <v>891</v>
      </c>
      <c r="L1302" t="str">
        <f t="shared" si="60"/>
        <v>65</v>
      </c>
      <c r="M1302">
        <f t="shared" si="61"/>
        <v>0</v>
      </c>
      <c r="N1302">
        <f t="shared" si="62"/>
        <v>0</v>
      </c>
    </row>
    <row r="1303" spans="1:14">
      <c r="A1303">
        <v>7292</v>
      </c>
      <c r="B1303" t="s">
        <v>997</v>
      </c>
      <c r="C1303" t="s">
        <v>755</v>
      </c>
      <c r="D1303" t="s">
        <v>762</v>
      </c>
      <c r="E1303">
        <v>30748</v>
      </c>
      <c r="G1303" s="2">
        <v>0.56180555555555556</v>
      </c>
      <c r="H1303" s="2">
        <v>0.62847222222222221</v>
      </c>
      <c r="J1303">
        <v>1.50446705596803</v>
      </c>
      <c r="K1303" t="s">
        <v>759</v>
      </c>
      <c r="L1303" t="str">
        <f t="shared" si="60"/>
        <v>33</v>
      </c>
      <c r="M1303">
        <f t="shared" si="61"/>
        <v>0</v>
      </c>
      <c r="N1303">
        <f t="shared" si="62"/>
        <v>0</v>
      </c>
    </row>
    <row r="1304" spans="1:14">
      <c r="A1304">
        <v>5235</v>
      </c>
      <c r="B1304" t="s">
        <v>1152</v>
      </c>
      <c r="C1304" t="s">
        <v>1073</v>
      </c>
      <c r="E1304">
        <v>5235</v>
      </c>
      <c r="G1304" s="2">
        <v>0.45833333333333331</v>
      </c>
      <c r="H1304" s="2">
        <v>0.68402777777777779</v>
      </c>
      <c r="J1304">
        <v>5.078125</v>
      </c>
      <c r="K1304" t="s">
        <v>778</v>
      </c>
      <c r="L1304" t="str">
        <f t="shared" si="60"/>
        <v>37</v>
      </c>
      <c r="M1304">
        <f t="shared" si="61"/>
        <v>0</v>
      </c>
      <c r="N1304">
        <f t="shared" si="62"/>
        <v>0</v>
      </c>
    </row>
    <row r="1305" spans="1:14">
      <c r="A1305">
        <v>5235</v>
      </c>
      <c r="B1305" t="s">
        <v>1152</v>
      </c>
      <c r="C1305" t="s">
        <v>1073</v>
      </c>
      <c r="E1305">
        <v>5235</v>
      </c>
      <c r="G1305" s="2">
        <v>0.68402777777777779</v>
      </c>
      <c r="H1305" s="2">
        <v>0.79166666666666663</v>
      </c>
      <c r="J1305">
        <v>2.4218749999999898</v>
      </c>
      <c r="K1305" t="s">
        <v>759</v>
      </c>
      <c r="L1305" t="str">
        <f t="shared" si="60"/>
        <v>33</v>
      </c>
      <c r="M1305">
        <f t="shared" si="61"/>
        <v>0</v>
      </c>
      <c r="N1305">
        <f t="shared" si="62"/>
        <v>0</v>
      </c>
    </row>
    <row r="1306" spans="1:14">
      <c r="A1306">
        <v>4038</v>
      </c>
      <c r="B1306" t="s">
        <v>1153</v>
      </c>
      <c r="C1306" t="s">
        <v>756</v>
      </c>
      <c r="E1306">
        <v>906029</v>
      </c>
      <c r="G1306" s="2">
        <v>0.45833333333333331</v>
      </c>
      <c r="H1306" s="2">
        <v>0.79166666666666663</v>
      </c>
      <c r="J1306">
        <v>7.5</v>
      </c>
      <c r="K1306" t="s">
        <v>816</v>
      </c>
      <c r="L1306" t="str">
        <f t="shared" si="60"/>
        <v>46</v>
      </c>
      <c r="M1306">
        <f t="shared" si="61"/>
        <v>0</v>
      </c>
      <c r="N1306">
        <f t="shared" si="62"/>
        <v>0</v>
      </c>
    </row>
    <row r="1307" spans="1:14">
      <c r="A1307">
        <v>4038</v>
      </c>
      <c r="B1307" t="s">
        <v>1153</v>
      </c>
      <c r="C1307" t="s">
        <v>756</v>
      </c>
      <c r="E1307">
        <v>906029</v>
      </c>
      <c r="G1307" s="2">
        <v>0.55138888888888882</v>
      </c>
      <c r="H1307" s="2">
        <v>0.55277777777777781</v>
      </c>
      <c r="J1307">
        <v>3.1249999999999899E-2</v>
      </c>
      <c r="K1307" t="s">
        <v>815</v>
      </c>
      <c r="L1307" t="str">
        <f t="shared" si="60"/>
        <v>46</v>
      </c>
      <c r="M1307">
        <f t="shared" si="61"/>
        <v>0</v>
      </c>
      <c r="N1307">
        <f t="shared" si="62"/>
        <v>0</v>
      </c>
    </row>
    <row r="1308" spans="1:14">
      <c r="A1308">
        <v>4038</v>
      </c>
      <c r="B1308" t="s">
        <v>1153</v>
      </c>
      <c r="C1308" t="s">
        <v>756</v>
      </c>
      <c r="E1308">
        <v>906029</v>
      </c>
      <c r="G1308" s="2">
        <v>0.55277777777777781</v>
      </c>
      <c r="H1308" s="2">
        <v>0.55347222222222225</v>
      </c>
      <c r="J1308">
        <v>1.5625E-2</v>
      </c>
      <c r="K1308" t="s">
        <v>816</v>
      </c>
      <c r="L1308" t="str">
        <f t="shared" si="60"/>
        <v>46</v>
      </c>
      <c r="M1308">
        <f t="shared" si="61"/>
        <v>0</v>
      </c>
      <c r="N1308">
        <f t="shared" si="62"/>
        <v>0</v>
      </c>
    </row>
    <row r="1309" spans="1:14">
      <c r="A1309">
        <v>4038</v>
      </c>
      <c r="B1309" t="s">
        <v>1153</v>
      </c>
      <c r="C1309" t="s">
        <v>756</v>
      </c>
      <c r="E1309">
        <v>906029</v>
      </c>
      <c r="G1309" s="2">
        <v>0.55347222222222225</v>
      </c>
      <c r="H1309" s="2">
        <v>0.55625000000000002</v>
      </c>
      <c r="J1309">
        <v>6.25E-2</v>
      </c>
      <c r="K1309" t="s">
        <v>815</v>
      </c>
      <c r="L1309" t="str">
        <f t="shared" si="60"/>
        <v>46</v>
      </c>
      <c r="M1309">
        <f t="shared" si="61"/>
        <v>0</v>
      </c>
      <c r="N1309">
        <f t="shared" si="62"/>
        <v>0</v>
      </c>
    </row>
    <row r="1310" spans="1:14">
      <c r="A1310">
        <v>4038</v>
      </c>
      <c r="B1310" t="s">
        <v>1153</v>
      </c>
      <c r="C1310" t="s">
        <v>756</v>
      </c>
      <c r="E1310">
        <v>906029</v>
      </c>
      <c r="G1310" s="2">
        <v>0.55625000000000002</v>
      </c>
      <c r="H1310" s="2">
        <v>0.55902777777777779</v>
      </c>
      <c r="J1310">
        <v>6.25E-2</v>
      </c>
      <c r="K1310" t="s">
        <v>816</v>
      </c>
      <c r="L1310" t="str">
        <f t="shared" si="60"/>
        <v>46</v>
      </c>
      <c r="M1310">
        <f t="shared" si="61"/>
        <v>0</v>
      </c>
      <c r="N1310">
        <f t="shared" si="62"/>
        <v>0</v>
      </c>
    </row>
    <row r="1311" spans="1:14">
      <c r="A1311">
        <v>4038</v>
      </c>
      <c r="B1311" t="s">
        <v>1153</v>
      </c>
      <c r="C1311" t="s">
        <v>756</v>
      </c>
      <c r="E1311">
        <v>906029</v>
      </c>
      <c r="G1311" s="2">
        <v>0.55902777777777779</v>
      </c>
      <c r="H1311" s="2">
        <v>0.55972222222222223</v>
      </c>
      <c r="J1311">
        <v>1.5625E-2</v>
      </c>
      <c r="K1311" t="s">
        <v>815</v>
      </c>
      <c r="L1311" t="str">
        <f t="shared" si="60"/>
        <v>46</v>
      </c>
      <c r="M1311">
        <f t="shared" si="61"/>
        <v>0</v>
      </c>
      <c r="N1311">
        <f t="shared" si="62"/>
        <v>0</v>
      </c>
    </row>
    <row r="1312" spans="1:14">
      <c r="A1312">
        <v>4038</v>
      </c>
      <c r="B1312" t="s">
        <v>1153</v>
      </c>
      <c r="C1312" t="s">
        <v>756</v>
      </c>
      <c r="E1312">
        <v>906029</v>
      </c>
      <c r="G1312" s="2">
        <v>0.55972222222222223</v>
      </c>
      <c r="H1312" s="2">
        <v>0.56319444444444444</v>
      </c>
      <c r="J1312">
        <v>7.8124999999999903E-2</v>
      </c>
      <c r="K1312" t="s">
        <v>816</v>
      </c>
      <c r="L1312" t="str">
        <f t="shared" si="60"/>
        <v>46</v>
      </c>
      <c r="M1312">
        <f t="shared" si="61"/>
        <v>0</v>
      </c>
      <c r="N1312">
        <f t="shared" si="62"/>
        <v>0</v>
      </c>
    </row>
    <row r="1313" spans="1:14">
      <c r="A1313">
        <v>4038</v>
      </c>
      <c r="B1313" t="s">
        <v>1153</v>
      </c>
      <c r="C1313" t="s">
        <v>756</v>
      </c>
      <c r="E1313">
        <v>906029</v>
      </c>
      <c r="G1313" s="2">
        <v>0.56319444444444444</v>
      </c>
      <c r="H1313" s="2">
        <v>0.56388888888888888</v>
      </c>
      <c r="J1313">
        <v>1.5625E-2</v>
      </c>
      <c r="K1313" t="s">
        <v>815</v>
      </c>
      <c r="L1313" t="str">
        <f t="shared" si="60"/>
        <v>46</v>
      </c>
      <c r="M1313">
        <f t="shared" si="61"/>
        <v>0</v>
      </c>
      <c r="N1313">
        <f t="shared" si="62"/>
        <v>0</v>
      </c>
    </row>
    <row r="1314" spans="1:14">
      <c r="A1314">
        <v>4038</v>
      </c>
      <c r="B1314" t="s">
        <v>1153</v>
      </c>
      <c r="C1314" t="s">
        <v>756</v>
      </c>
      <c r="E1314">
        <v>906029</v>
      </c>
      <c r="G1314" s="2">
        <v>0.56388888888888888</v>
      </c>
      <c r="H1314" s="2">
        <v>0.7680555555555556</v>
      </c>
      <c r="J1314">
        <v>4.59375</v>
      </c>
      <c r="K1314" t="s">
        <v>816</v>
      </c>
      <c r="L1314" t="str">
        <f t="shared" si="60"/>
        <v>46</v>
      </c>
      <c r="M1314">
        <f t="shared" si="61"/>
        <v>0</v>
      </c>
      <c r="N1314">
        <f t="shared" si="62"/>
        <v>0</v>
      </c>
    </row>
    <row r="1315" spans="1:14">
      <c r="A1315">
        <v>4038</v>
      </c>
      <c r="B1315" t="s">
        <v>1153</v>
      </c>
      <c r="C1315" t="s">
        <v>756</v>
      </c>
      <c r="E1315">
        <v>906029</v>
      </c>
      <c r="G1315" s="2">
        <v>0.7680555555555556</v>
      </c>
      <c r="H1315" s="2">
        <v>0.79166666666666663</v>
      </c>
      <c r="J1315">
        <v>0.53125</v>
      </c>
      <c r="K1315" t="s">
        <v>778</v>
      </c>
      <c r="L1315" t="str">
        <f t="shared" si="60"/>
        <v>37</v>
      </c>
      <c r="M1315">
        <f t="shared" si="61"/>
        <v>0</v>
      </c>
      <c r="N1315">
        <f t="shared" si="62"/>
        <v>0</v>
      </c>
    </row>
    <row r="1316" spans="1:14">
      <c r="A1316">
        <v>8032</v>
      </c>
      <c r="B1316" t="s">
        <v>998</v>
      </c>
      <c r="C1316" t="s">
        <v>754</v>
      </c>
      <c r="D1316" t="s">
        <v>775</v>
      </c>
      <c r="E1316">
        <v>74991</v>
      </c>
      <c r="G1316" s="2">
        <v>0.33333333333333331</v>
      </c>
      <c r="H1316" s="2">
        <v>0.6875</v>
      </c>
      <c r="J1316">
        <v>8</v>
      </c>
      <c r="K1316" t="s">
        <v>829</v>
      </c>
      <c r="L1316" t="str">
        <f t="shared" si="60"/>
        <v>65</v>
      </c>
      <c r="M1316">
        <f t="shared" si="61"/>
        <v>0</v>
      </c>
      <c r="N1316">
        <f t="shared" si="62"/>
        <v>0</v>
      </c>
    </row>
    <row r="1317" spans="1:14">
      <c r="A1317">
        <v>7921</v>
      </c>
      <c r="B1317" t="s">
        <v>1265</v>
      </c>
      <c r="C1317" t="s">
        <v>755</v>
      </c>
      <c r="D1317" t="s">
        <v>788</v>
      </c>
      <c r="E1317">
        <v>802033</v>
      </c>
      <c r="G1317" s="2">
        <v>0.41875000000000001</v>
      </c>
      <c r="H1317" s="2">
        <v>0.47986111111111113</v>
      </c>
      <c r="J1317">
        <v>1.46588767806651</v>
      </c>
      <c r="K1317" t="s">
        <v>767</v>
      </c>
      <c r="L1317" t="str">
        <f t="shared" si="60"/>
        <v>37</v>
      </c>
      <c r="M1317">
        <f t="shared" si="61"/>
        <v>0</v>
      </c>
      <c r="N1317">
        <f t="shared" si="62"/>
        <v>0</v>
      </c>
    </row>
    <row r="1318" spans="1:14">
      <c r="A1318">
        <v>7921</v>
      </c>
      <c r="B1318" t="s">
        <v>1265</v>
      </c>
      <c r="C1318" t="s">
        <v>755</v>
      </c>
      <c r="D1318" t="s">
        <v>788</v>
      </c>
      <c r="E1318">
        <v>802033</v>
      </c>
      <c r="G1318" s="2">
        <v>0.47986111111111113</v>
      </c>
      <c r="H1318" s="2">
        <v>0.65</v>
      </c>
      <c r="J1318">
        <v>4.0811645582533496</v>
      </c>
      <c r="K1318" t="s">
        <v>790</v>
      </c>
      <c r="L1318" t="str">
        <f t="shared" si="60"/>
        <v>46</v>
      </c>
      <c r="M1318">
        <f t="shared" si="61"/>
        <v>0</v>
      </c>
      <c r="N1318">
        <f t="shared" si="62"/>
        <v>0</v>
      </c>
    </row>
    <row r="1319" spans="1:14">
      <c r="A1319">
        <v>7921</v>
      </c>
      <c r="B1319" t="s">
        <v>1265</v>
      </c>
      <c r="C1319" t="s">
        <v>755</v>
      </c>
      <c r="D1319" t="s">
        <v>788</v>
      </c>
      <c r="E1319">
        <v>802033</v>
      </c>
      <c r="G1319" s="2">
        <v>0.65</v>
      </c>
      <c r="H1319" s="2">
        <v>0.66388888888888886</v>
      </c>
      <c r="J1319">
        <v>0.333156290469661</v>
      </c>
      <c r="K1319" t="s">
        <v>767</v>
      </c>
      <c r="L1319" t="str">
        <f t="shared" si="60"/>
        <v>37</v>
      </c>
      <c r="M1319">
        <f t="shared" si="61"/>
        <v>0</v>
      </c>
      <c r="N1319">
        <f t="shared" si="62"/>
        <v>0</v>
      </c>
    </row>
    <row r="1320" spans="1:14">
      <c r="A1320">
        <v>7921</v>
      </c>
      <c r="B1320" t="s">
        <v>1265</v>
      </c>
      <c r="C1320" t="s">
        <v>755</v>
      </c>
      <c r="D1320" t="s">
        <v>788</v>
      </c>
      <c r="E1320">
        <v>802033</v>
      </c>
      <c r="G1320" s="2">
        <v>0.66388888888888886</v>
      </c>
      <c r="H1320" s="2">
        <v>0.77083333333333337</v>
      </c>
      <c r="J1320">
        <v>2.5653034366164</v>
      </c>
      <c r="K1320" t="s">
        <v>790</v>
      </c>
      <c r="L1320" t="str">
        <f t="shared" si="60"/>
        <v>46</v>
      </c>
      <c r="M1320">
        <f t="shared" si="61"/>
        <v>0</v>
      </c>
      <c r="N1320">
        <f t="shared" si="62"/>
        <v>0</v>
      </c>
    </row>
    <row r="1321" spans="1:14">
      <c r="A1321">
        <v>4091</v>
      </c>
      <c r="B1321" t="s">
        <v>1266</v>
      </c>
      <c r="C1321" t="s">
        <v>756</v>
      </c>
      <c r="E1321">
        <v>909063</v>
      </c>
      <c r="G1321" s="2">
        <v>0.48749999999999999</v>
      </c>
      <c r="H1321" s="2">
        <v>0.59097222222222223</v>
      </c>
      <c r="J1321">
        <v>2.3228757381643601</v>
      </c>
      <c r="K1321" t="s">
        <v>817</v>
      </c>
      <c r="L1321" t="str">
        <f t="shared" si="60"/>
        <v>46</v>
      </c>
      <c r="M1321">
        <f t="shared" si="61"/>
        <v>0</v>
      </c>
      <c r="N1321">
        <f t="shared" si="62"/>
        <v>0</v>
      </c>
    </row>
    <row r="1322" spans="1:14">
      <c r="A1322">
        <v>4091</v>
      </c>
      <c r="B1322" t="s">
        <v>1266</v>
      </c>
      <c r="C1322" t="s">
        <v>756</v>
      </c>
      <c r="E1322">
        <v>909063</v>
      </c>
      <c r="G1322" s="2">
        <v>0.59097222222222223</v>
      </c>
      <c r="H1322" s="2">
        <v>0.59583333333333333</v>
      </c>
      <c r="J1322">
        <v>0.10912839038356099</v>
      </c>
      <c r="K1322" t="s">
        <v>877</v>
      </c>
      <c r="L1322" t="str">
        <f t="shared" si="60"/>
        <v>46</v>
      </c>
      <c r="M1322">
        <f t="shared" si="61"/>
        <v>0</v>
      </c>
      <c r="N1322">
        <f t="shared" si="62"/>
        <v>0</v>
      </c>
    </row>
    <row r="1323" spans="1:14">
      <c r="A1323">
        <v>4091</v>
      </c>
      <c r="B1323" t="s">
        <v>1266</v>
      </c>
      <c r="C1323" t="s">
        <v>756</v>
      </c>
      <c r="E1323">
        <v>909063</v>
      </c>
      <c r="G1323" s="2">
        <v>0.59583333333333333</v>
      </c>
      <c r="H1323" s="2">
        <v>0.65625</v>
      </c>
      <c r="J1323">
        <v>1.35630999476711</v>
      </c>
      <c r="K1323" t="s">
        <v>817</v>
      </c>
      <c r="L1323" t="str">
        <f t="shared" si="60"/>
        <v>46</v>
      </c>
      <c r="M1323">
        <f t="shared" si="61"/>
        <v>0</v>
      </c>
      <c r="N1323">
        <f t="shared" si="62"/>
        <v>0</v>
      </c>
    </row>
    <row r="1324" spans="1:14">
      <c r="A1324">
        <v>4091</v>
      </c>
      <c r="B1324" t="s">
        <v>1266</v>
      </c>
      <c r="C1324" t="s">
        <v>756</v>
      </c>
      <c r="E1324">
        <v>909063</v>
      </c>
      <c r="G1324" s="2">
        <v>0.65625</v>
      </c>
      <c r="H1324" s="2">
        <v>0.67638888888888893</v>
      </c>
      <c r="J1324">
        <v>0.45210333158903798</v>
      </c>
      <c r="K1324" t="s">
        <v>816</v>
      </c>
      <c r="L1324" t="str">
        <f t="shared" si="60"/>
        <v>46</v>
      </c>
      <c r="M1324">
        <f t="shared" si="61"/>
        <v>0</v>
      </c>
      <c r="N1324">
        <f t="shared" si="62"/>
        <v>0</v>
      </c>
    </row>
    <row r="1325" spans="1:14">
      <c r="A1325">
        <v>4091</v>
      </c>
      <c r="B1325" t="s">
        <v>1266</v>
      </c>
      <c r="C1325" t="s">
        <v>756</v>
      </c>
      <c r="E1325">
        <v>909063</v>
      </c>
      <c r="G1325" s="2">
        <v>0.67638888888888893</v>
      </c>
      <c r="H1325" s="2">
        <v>0.67847222222222225</v>
      </c>
      <c r="J1325">
        <v>4.67693101643833E-2</v>
      </c>
      <c r="K1325" t="s">
        <v>817</v>
      </c>
      <c r="L1325" t="str">
        <f t="shared" si="60"/>
        <v>46</v>
      </c>
      <c r="M1325">
        <f t="shared" si="61"/>
        <v>0</v>
      </c>
      <c r="N1325">
        <f t="shared" si="62"/>
        <v>0</v>
      </c>
    </row>
    <row r="1326" spans="1:14">
      <c r="A1326">
        <v>4091</v>
      </c>
      <c r="B1326" t="s">
        <v>1266</v>
      </c>
      <c r="C1326" t="s">
        <v>756</v>
      </c>
      <c r="E1326">
        <v>909063</v>
      </c>
      <c r="G1326" s="2">
        <v>0.67847222222222225</v>
      </c>
      <c r="H1326" s="2">
        <v>0.68333333333333324</v>
      </c>
      <c r="J1326">
        <v>0.10912839038356099</v>
      </c>
      <c r="K1326" t="s">
        <v>877</v>
      </c>
      <c r="L1326" t="str">
        <f t="shared" si="60"/>
        <v>46</v>
      </c>
      <c r="M1326">
        <f t="shared" si="61"/>
        <v>0</v>
      </c>
      <c r="N1326">
        <f t="shared" si="62"/>
        <v>0</v>
      </c>
    </row>
    <row r="1327" spans="1:14">
      <c r="A1327">
        <v>4091</v>
      </c>
      <c r="B1327" t="s">
        <v>1266</v>
      </c>
      <c r="C1327" t="s">
        <v>756</v>
      </c>
      <c r="E1327">
        <v>909063</v>
      </c>
      <c r="G1327" s="2">
        <v>0.68333333333333324</v>
      </c>
      <c r="H1327" s="2">
        <v>0.76875000000000004</v>
      </c>
      <c r="J1327">
        <v>1.91754171673971</v>
      </c>
      <c r="K1327" t="s">
        <v>817</v>
      </c>
      <c r="L1327" t="str">
        <f t="shared" si="60"/>
        <v>46</v>
      </c>
      <c r="M1327">
        <f t="shared" si="61"/>
        <v>0</v>
      </c>
      <c r="N1327">
        <f t="shared" si="62"/>
        <v>0</v>
      </c>
    </row>
    <row r="1328" spans="1:14">
      <c r="A1328">
        <v>4091</v>
      </c>
      <c r="B1328" t="s">
        <v>1266</v>
      </c>
      <c r="C1328" t="s">
        <v>756</v>
      </c>
      <c r="E1328">
        <v>909063</v>
      </c>
      <c r="G1328" s="2">
        <v>0.76875000000000004</v>
      </c>
      <c r="H1328" s="2">
        <v>0.8125</v>
      </c>
      <c r="J1328">
        <v>0.98215551345204899</v>
      </c>
      <c r="K1328" t="s">
        <v>759</v>
      </c>
      <c r="L1328" t="str">
        <f t="shared" si="60"/>
        <v>33</v>
      </c>
      <c r="M1328">
        <f t="shared" si="61"/>
        <v>0</v>
      </c>
      <c r="N1328">
        <f t="shared" si="62"/>
        <v>0</v>
      </c>
    </row>
    <row r="1329" spans="1:14">
      <c r="A1329">
        <v>4039</v>
      </c>
      <c r="B1329" t="s">
        <v>1000</v>
      </c>
      <c r="C1329" t="s">
        <v>756</v>
      </c>
      <c r="E1329">
        <v>906031</v>
      </c>
      <c r="G1329" s="2">
        <v>0.22500000000000001</v>
      </c>
      <c r="H1329" s="2">
        <v>0.25486111111111109</v>
      </c>
      <c r="J1329">
        <v>0.716351648351638</v>
      </c>
      <c r="K1329" t="s">
        <v>759</v>
      </c>
      <c r="L1329" t="str">
        <f t="shared" si="60"/>
        <v>33</v>
      </c>
      <c r="M1329">
        <f t="shared" si="61"/>
        <v>0</v>
      </c>
      <c r="N1329">
        <f t="shared" si="62"/>
        <v>0</v>
      </c>
    </row>
    <row r="1330" spans="1:14">
      <c r="A1330">
        <v>4039</v>
      </c>
      <c r="B1330" t="s">
        <v>1000</v>
      </c>
      <c r="C1330" t="s">
        <v>756</v>
      </c>
      <c r="E1330">
        <v>906031</v>
      </c>
      <c r="G1330" s="2">
        <v>0.25486111111111109</v>
      </c>
      <c r="H1330" s="2">
        <v>0.46875</v>
      </c>
      <c r="J1330">
        <v>5.13107692307684</v>
      </c>
      <c r="K1330" t="s">
        <v>773</v>
      </c>
      <c r="L1330" t="str">
        <f t="shared" si="60"/>
        <v>33</v>
      </c>
      <c r="M1330">
        <f t="shared" si="61"/>
        <v>0</v>
      </c>
      <c r="N1330">
        <f t="shared" si="62"/>
        <v>0</v>
      </c>
    </row>
    <row r="1331" spans="1:14">
      <c r="A1331">
        <v>7491</v>
      </c>
      <c r="B1331" t="s">
        <v>1001</v>
      </c>
      <c r="C1331" t="s">
        <v>755</v>
      </c>
      <c r="D1331" t="s">
        <v>893</v>
      </c>
      <c r="E1331">
        <v>84715</v>
      </c>
      <c r="G1331" s="2">
        <v>0.45277777777777778</v>
      </c>
      <c r="H1331" s="2">
        <v>0.54722222222222217</v>
      </c>
      <c r="J1331">
        <v>2.2608333333333301</v>
      </c>
      <c r="K1331" t="s">
        <v>863</v>
      </c>
      <c r="L1331" t="str">
        <f t="shared" si="60"/>
        <v>46</v>
      </c>
      <c r="M1331">
        <f t="shared" si="61"/>
        <v>0</v>
      </c>
      <c r="N1331">
        <f t="shared" si="62"/>
        <v>0</v>
      </c>
    </row>
    <row r="1332" spans="1:14">
      <c r="A1332">
        <v>7491</v>
      </c>
      <c r="B1332" t="s">
        <v>1001</v>
      </c>
      <c r="C1332" t="s">
        <v>755</v>
      </c>
      <c r="D1332" t="s">
        <v>893</v>
      </c>
      <c r="E1332">
        <v>84715</v>
      </c>
      <c r="G1332" s="2">
        <v>0.59652777777777777</v>
      </c>
      <c r="H1332" s="2">
        <v>0.8125</v>
      </c>
      <c r="J1332">
        <v>5.1817142857142402</v>
      </c>
      <c r="K1332" t="s">
        <v>863</v>
      </c>
      <c r="L1332" t="str">
        <f t="shared" si="60"/>
        <v>46</v>
      </c>
      <c r="M1332">
        <f t="shared" si="61"/>
        <v>0</v>
      </c>
      <c r="N1332">
        <f t="shared" si="62"/>
        <v>0</v>
      </c>
    </row>
    <row r="1333" spans="1:14">
      <c r="A1333">
        <v>7189</v>
      </c>
      <c r="B1333" t="s">
        <v>1002</v>
      </c>
      <c r="C1333" t="s">
        <v>754</v>
      </c>
      <c r="D1333" t="s">
        <v>1003</v>
      </c>
      <c r="E1333">
        <v>25973</v>
      </c>
      <c r="G1333" s="2">
        <v>0.2388888888888889</v>
      </c>
      <c r="H1333" s="2">
        <v>0.55763888888888891</v>
      </c>
      <c r="J1333">
        <v>7.2092090788065297</v>
      </c>
      <c r="K1333" t="s">
        <v>810</v>
      </c>
      <c r="L1333" t="str">
        <f t="shared" si="60"/>
        <v>15</v>
      </c>
      <c r="M1333">
        <f t="shared" si="61"/>
        <v>0</v>
      </c>
      <c r="N1333">
        <f t="shared" si="62"/>
        <v>0</v>
      </c>
    </row>
    <row r="1334" spans="1:14">
      <c r="A1334">
        <v>7189</v>
      </c>
      <c r="B1334" t="s">
        <v>1002</v>
      </c>
      <c r="C1334" t="s">
        <v>754</v>
      </c>
      <c r="D1334" t="s">
        <v>1003</v>
      </c>
      <c r="E1334">
        <v>25973</v>
      </c>
      <c r="G1334" s="2">
        <v>0.55763888888888891</v>
      </c>
      <c r="H1334" s="2">
        <v>0.59166666666666667</v>
      </c>
      <c r="J1334">
        <v>0.76961055525385702</v>
      </c>
      <c r="K1334" t="s">
        <v>773</v>
      </c>
      <c r="L1334" t="str">
        <f t="shared" si="60"/>
        <v>33</v>
      </c>
      <c r="M1334">
        <f t="shared" si="61"/>
        <v>0</v>
      </c>
      <c r="N1334">
        <f t="shared" si="62"/>
        <v>0</v>
      </c>
    </row>
    <row r="1335" spans="1:14">
      <c r="A1335">
        <v>7927</v>
      </c>
      <c r="B1335" t="s">
        <v>1004</v>
      </c>
      <c r="C1335" t="s">
        <v>756</v>
      </c>
      <c r="E1335">
        <v>836660</v>
      </c>
      <c r="G1335" s="2">
        <v>0.2298611111111111</v>
      </c>
      <c r="H1335" s="2">
        <v>0.25069444444444444</v>
      </c>
      <c r="J1335">
        <v>0.46748715352658698</v>
      </c>
      <c r="K1335" t="s">
        <v>798</v>
      </c>
      <c r="L1335" t="str">
        <f t="shared" si="60"/>
        <v>33</v>
      </c>
      <c r="M1335">
        <f t="shared" si="61"/>
        <v>0</v>
      </c>
      <c r="N1335">
        <f t="shared" si="62"/>
        <v>0</v>
      </c>
    </row>
    <row r="1336" spans="1:14">
      <c r="A1336">
        <v>7927</v>
      </c>
      <c r="B1336" t="s">
        <v>1004</v>
      </c>
      <c r="C1336" t="s">
        <v>756</v>
      </c>
      <c r="E1336">
        <v>836660</v>
      </c>
      <c r="G1336" s="2">
        <v>0.25069444444444444</v>
      </c>
      <c r="H1336" s="2">
        <v>0.25486111111111109</v>
      </c>
      <c r="J1336">
        <v>9.3497430705317394E-2</v>
      </c>
      <c r="K1336" t="s">
        <v>800</v>
      </c>
      <c r="L1336" t="str">
        <f t="shared" si="60"/>
        <v>33</v>
      </c>
      <c r="M1336">
        <f t="shared" si="61"/>
        <v>0</v>
      </c>
      <c r="N1336">
        <f t="shared" si="62"/>
        <v>0</v>
      </c>
    </row>
    <row r="1337" spans="1:14">
      <c r="A1337">
        <v>7927</v>
      </c>
      <c r="B1337" t="s">
        <v>1004</v>
      </c>
      <c r="C1337" t="s">
        <v>756</v>
      </c>
      <c r="E1337">
        <v>836660</v>
      </c>
      <c r="G1337" s="2">
        <v>0.25486111111111109</v>
      </c>
      <c r="H1337" s="2">
        <v>0.25763888888888892</v>
      </c>
      <c r="J1337">
        <v>6.2331620470211603E-2</v>
      </c>
      <c r="K1337" t="s">
        <v>798</v>
      </c>
      <c r="L1337" t="str">
        <f t="shared" si="60"/>
        <v>33</v>
      </c>
      <c r="M1337">
        <f t="shared" si="61"/>
        <v>0</v>
      </c>
      <c r="N1337">
        <f t="shared" si="62"/>
        <v>0</v>
      </c>
    </row>
    <row r="1338" spans="1:14">
      <c r="A1338">
        <v>7927</v>
      </c>
      <c r="B1338" t="s">
        <v>1004</v>
      </c>
      <c r="C1338" t="s">
        <v>756</v>
      </c>
      <c r="E1338">
        <v>836660</v>
      </c>
      <c r="G1338" s="2">
        <v>0.25763888888888892</v>
      </c>
      <c r="H1338" s="2">
        <v>0.2590277777777778</v>
      </c>
      <c r="J1338">
        <v>3.1165810235105701E-2</v>
      </c>
      <c r="K1338" t="s">
        <v>814</v>
      </c>
      <c r="L1338" t="str">
        <f t="shared" si="60"/>
        <v>33</v>
      </c>
      <c r="M1338">
        <f t="shared" si="61"/>
        <v>0</v>
      </c>
      <c r="N1338">
        <f t="shared" si="62"/>
        <v>0</v>
      </c>
    </row>
    <row r="1339" spans="1:14">
      <c r="A1339">
        <v>7927</v>
      </c>
      <c r="B1339" t="s">
        <v>1004</v>
      </c>
      <c r="C1339" t="s">
        <v>756</v>
      </c>
      <c r="E1339">
        <v>836660</v>
      </c>
      <c r="G1339" s="2">
        <v>0.2590277777777778</v>
      </c>
      <c r="H1339" s="2">
        <v>0.26527777777777778</v>
      </c>
      <c r="J1339">
        <v>0.140246146057976</v>
      </c>
      <c r="K1339" t="s">
        <v>798</v>
      </c>
      <c r="L1339" t="str">
        <f t="shared" si="60"/>
        <v>33</v>
      </c>
      <c r="M1339">
        <f t="shared" si="61"/>
        <v>0</v>
      </c>
      <c r="N1339">
        <f t="shared" si="62"/>
        <v>0</v>
      </c>
    </row>
    <row r="1340" spans="1:14">
      <c r="A1340">
        <v>7927</v>
      </c>
      <c r="B1340" t="s">
        <v>1004</v>
      </c>
      <c r="C1340" t="s">
        <v>756</v>
      </c>
      <c r="E1340">
        <v>836660</v>
      </c>
      <c r="G1340" s="2">
        <v>0.26527777777777778</v>
      </c>
      <c r="H1340" s="2">
        <v>0.27500000000000002</v>
      </c>
      <c r="J1340">
        <v>0.21816067164573999</v>
      </c>
      <c r="K1340" t="s">
        <v>800</v>
      </c>
      <c r="L1340" t="str">
        <f t="shared" si="60"/>
        <v>33</v>
      </c>
      <c r="M1340">
        <f t="shared" si="61"/>
        <v>0</v>
      </c>
      <c r="N1340">
        <f t="shared" si="62"/>
        <v>0</v>
      </c>
    </row>
    <row r="1341" spans="1:14">
      <c r="A1341">
        <v>7927</v>
      </c>
      <c r="B1341" t="s">
        <v>1004</v>
      </c>
      <c r="C1341" t="s">
        <v>756</v>
      </c>
      <c r="E1341">
        <v>836660</v>
      </c>
      <c r="G1341" s="2">
        <v>0.27500000000000002</v>
      </c>
      <c r="H1341" s="2">
        <v>0.28888888888888892</v>
      </c>
      <c r="J1341">
        <v>0.31165810235105701</v>
      </c>
      <c r="K1341" t="s">
        <v>798</v>
      </c>
      <c r="L1341" t="str">
        <f t="shared" si="60"/>
        <v>33</v>
      </c>
      <c r="M1341">
        <f t="shared" si="61"/>
        <v>0</v>
      </c>
      <c r="N1341">
        <f t="shared" si="62"/>
        <v>0</v>
      </c>
    </row>
    <row r="1342" spans="1:14">
      <c r="A1342">
        <v>7927</v>
      </c>
      <c r="B1342" t="s">
        <v>1004</v>
      </c>
      <c r="C1342" t="s">
        <v>756</v>
      </c>
      <c r="E1342">
        <v>836660</v>
      </c>
      <c r="G1342" s="2">
        <v>0.28888888888888892</v>
      </c>
      <c r="H1342" s="2">
        <v>0.29652777777777778</v>
      </c>
      <c r="J1342">
        <v>0.17141195629308101</v>
      </c>
      <c r="K1342" t="s">
        <v>800</v>
      </c>
      <c r="L1342" t="str">
        <f t="shared" si="60"/>
        <v>33</v>
      </c>
      <c r="M1342">
        <f t="shared" si="61"/>
        <v>0</v>
      </c>
      <c r="N1342">
        <f t="shared" si="62"/>
        <v>0</v>
      </c>
    </row>
    <row r="1343" spans="1:14">
      <c r="A1343">
        <v>7927</v>
      </c>
      <c r="B1343" t="s">
        <v>1004</v>
      </c>
      <c r="C1343" t="s">
        <v>756</v>
      </c>
      <c r="E1343">
        <v>836660</v>
      </c>
      <c r="G1343" s="2">
        <v>0.29652777777777778</v>
      </c>
      <c r="H1343" s="2">
        <v>0.2986111111111111</v>
      </c>
      <c r="J1343">
        <v>4.6748715352658697E-2</v>
      </c>
      <c r="K1343" t="s">
        <v>798</v>
      </c>
      <c r="L1343" t="str">
        <f t="shared" si="60"/>
        <v>33</v>
      </c>
      <c r="M1343">
        <f t="shared" si="61"/>
        <v>0</v>
      </c>
      <c r="N1343">
        <f t="shared" si="62"/>
        <v>0</v>
      </c>
    </row>
    <row r="1344" spans="1:14">
      <c r="A1344">
        <v>7927</v>
      </c>
      <c r="B1344" t="s">
        <v>1004</v>
      </c>
      <c r="C1344" t="s">
        <v>756</v>
      </c>
      <c r="E1344">
        <v>836660</v>
      </c>
      <c r="G1344" s="2">
        <v>0.2986111111111111</v>
      </c>
      <c r="H1344" s="2">
        <v>0.30902777777777779</v>
      </c>
      <c r="J1344">
        <v>0.23374357676329299</v>
      </c>
      <c r="K1344" t="s">
        <v>800</v>
      </c>
      <c r="L1344" t="str">
        <f t="shared" si="60"/>
        <v>33</v>
      </c>
      <c r="M1344">
        <f t="shared" si="61"/>
        <v>0</v>
      </c>
      <c r="N1344">
        <f t="shared" si="62"/>
        <v>0</v>
      </c>
    </row>
    <row r="1345" spans="1:14">
      <c r="A1345">
        <v>7927</v>
      </c>
      <c r="B1345" t="s">
        <v>1004</v>
      </c>
      <c r="C1345" t="s">
        <v>756</v>
      </c>
      <c r="E1345">
        <v>836660</v>
      </c>
      <c r="G1345" s="2">
        <v>0.30902777777777779</v>
      </c>
      <c r="H1345" s="2">
        <v>0.32708333333333334</v>
      </c>
      <c r="J1345">
        <v>0.40515553305637497</v>
      </c>
      <c r="K1345" t="s">
        <v>798</v>
      </c>
      <c r="L1345" t="str">
        <f t="shared" si="60"/>
        <v>33</v>
      </c>
      <c r="M1345">
        <f t="shared" si="61"/>
        <v>0</v>
      </c>
      <c r="N1345">
        <f t="shared" si="62"/>
        <v>0</v>
      </c>
    </row>
    <row r="1346" spans="1:14">
      <c r="A1346">
        <v>7927</v>
      </c>
      <c r="B1346" t="s">
        <v>1004</v>
      </c>
      <c r="C1346" t="s">
        <v>756</v>
      </c>
      <c r="E1346">
        <v>836660</v>
      </c>
      <c r="G1346" s="2">
        <v>0.32708333333333334</v>
      </c>
      <c r="H1346" s="2">
        <v>0.33888888888888885</v>
      </c>
      <c r="J1346">
        <v>0.264909386998399</v>
      </c>
      <c r="K1346" t="s">
        <v>800</v>
      </c>
      <c r="L1346" t="str">
        <f t="shared" ref="L1346:L1409" si="63">RIGHT(LEFT(K1346,4),2)</f>
        <v>33</v>
      </c>
      <c r="M1346">
        <f t="shared" ref="M1346:M1409" si="64">IF(I1346=0,0,I1346-H1346)+IF(F1346=0,0,G1346-F1346)</f>
        <v>0</v>
      </c>
      <c r="N1346">
        <f t="shared" ref="N1346:N1409" si="65">(M1346-INT(M1346))*24</f>
        <v>0</v>
      </c>
    </row>
    <row r="1347" spans="1:14">
      <c r="A1347">
        <v>7927</v>
      </c>
      <c r="B1347" t="s">
        <v>1004</v>
      </c>
      <c r="C1347" t="s">
        <v>756</v>
      </c>
      <c r="E1347">
        <v>836660</v>
      </c>
      <c r="G1347" s="2">
        <v>0.33888888888888885</v>
      </c>
      <c r="H1347" s="2">
        <v>0.34791666666666665</v>
      </c>
      <c r="J1347">
        <v>0.20257776652818801</v>
      </c>
      <c r="K1347" t="s">
        <v>798</v>
      </c>
      <c r="L1347" t="str">
        <f t="shared" si="63"/>
        <v>33</v>
      </c>
      <c r="M1347">
        <f t="shared" si="64"/>
        <v>0</v>
      </c>
      <c r="N1347">
        <f t="shared" si="65"/>
        <v>0</v>
      </c>
    </row>
    <row r="1348" spans="1:14">
      <c r="A1348">
        <v>7927</v>
      </c>
      <c r="B1348" t="s">
        <v>1004</v>
      </c>
      <c r="C1348" t="s">
        <v>756</v>
      </c>
      <c r="E1348">
        <v>836660</v>
      </c>
      <c r="G1348" s="2">
        <v>0.34791666666666665</v>
      </c>
      <c r="H1348" s="2">
        <v>0.3527777777777778</v>
      </c>
      <c r="J1348">
        <v>0.10908033582286999</v>
      </c>
      <c r="K1348" t="s">
        <v>800</v>
      </c>
      <c r="L1348" t="str">
        <f t="shared" si="63"/>
        <v>33</v>
      </c>
      <c r="M1348">
        <f t="shared" si="64"/>
        <v>0</v>
      </c>
      <c r="N1348">
        <f t="shared" si="65"/>
        <v>0</v>
      </c>
    </row>
    <row r="1349" spans="1:14">
      <c r="A1349">
        <v>7927</v>
      </c>
      <c r="B1349" t="s">
        <v>1004</v>
      </c>
      <c r="C1349" t="s">
        <v>756</v>
      </c>
      <c r="E1349">
        <v>836660</v>
      </c>
      <c r="G1349" s="2">
        <v>0.3527777777777778</v>
      </c>
      <c r="H1349" s="2">
        <v>0.35833333333333334</v>
      </c>
      <c r="J1349">
        <v>0.124663240940422</v>
      </c>
      <c r="K1349" t="s">
        <v>798</v>
      </c>
      <c r="L1349" t="str">
        <f t="shared" si="63"/>
        <v>33</v>
      </c>
      <c r="M1349">
        <f t="shared" si="64"/>
        <v>0</v>
      </c>
      <c r="N1349">
        <f t="shared" si="65"/>
        <v>0</v>
      </c>
    </row>
    <row r="1350" spans="1:14">
      <c r="A1350">
        <v>7927</v>
      </c>
      <c r="B1350" t="s">
        <v>1004</v>
      </c>
      <c r="C1350" t="s">
        <v>756</v>
      </c>
      <c r="E1350">
        <v>836660</v>
      </c>
      <c r="G1350" s="2">
        <v>0.35833333333333334</v>
      </c>
      <c r="H1350" s="2">
        <v>0.36249999999999999</v>
      </c>
      <c r="J1350">
        <v>9.3497430705317394E-2</v>
      </c>
      <c r="K1350" t="s">
        <v>800</v>
      </c>
      <c r="L1350" t="str">
        <f t="shared" si="63"/>
        <v>33</v>
      </c>
      <c r="M1350">
        <f t="shared" si="64"/>
        <v>0</v>
      </c>
      <c r="N1350">
        <f t="shared" si="65"/>
        <v>0</v>
      </c>
    </row>
    <row r="1351" spans="1:14">
      <c r="A1351">
        <v>7927</v>
      </c>
      <c r="B1351" t="s">
        <v>1004</v>
      </c>
      <c r="C1351" t="s">
        <v>756</v>
      </c>
      <c r="E1351">
        <v>836660</v>
      </c>
      <c r="G1351" s="2">
        <v>0.36249999999999999</v>
      </c>
      <c r="H1351" s="2">
        <v>0.38263888888888892</v>
      </c>
      <c r="J1351">
        <v>0.45190424840903298</v>
      </c>
      <c r="K1351" t="s">
        <v>798</v>
      </c>
      <c r="L1351" t="str">
        <f t="shared" si="63"/>
        <v>33</v>
      </c>
      <c r="M1351">
        <f t="shared" si="64"/>
        <v>0</v>
      </c>
      <c r="N1351">
        <f t="shared" si="65"/>
        <v>0</v>
      </c>
    </row>
    <row r="1352" spans="1:14">
      <c r="A1352">
        <v>7927</v>
      </c>
      <c r="B1352" t="s">
        <v>1004</v>
      </c>
      <c r="C1352" t="s">
        <v>756</v>
      </c>
      <c r="E1352">
        <v>836660</v>
      </c>
      <c r="G1352" s="2">
        <v>0.38263888888888892</v>
      </c>
      <c r="H1352" s="2">
        <v>0.41597222222222219</v>
      </c>
      <c r="J1352">
        <v>0.74797944564253904</v>
      </c>
      <c r="K1352" t="s">
        <v>800</v>
      </c>
      <c r="L1352" t="str">
        <f t="shared" si="63"/>
        <v>33</v>
      </c>
      <c r="M1352">
        <f t="shared" si="64"/>
        <v>0</v>
      </c>
      <c r="N1352">
        <f t="shared" si="65"/>
        <v>0</v>
      </c>
    </row>
    <row r="1353" spans="1:14">
      <c r="A1353">
        <v>7927</v>
      </c>
      <c r="B1353" t="s">
        <v>1004</v>
      </c>
      <c r="C1353" t="s">
        <v>756</v>
      </c>
      <c r="E1353">
        <v>836660</v>
      </c>
      <c r="G1353" s="2">
        <v>0.41597222222222219</v>
      </c>
      <c r="H1353" s="2">
        <v>0.55277777777777781</v>
      </c>
      <c r="J1353">
        <v>3.0698323081579102</v>
      </c>
      <c r="K1353" t="s">
        <v>759</v>
      </c>
      <c r="L1353" t="str">
        <f t="shared" si="63"/>
        <v>33</v>
      </c>
      <c r="M1353">
        <f t="shared" si="64"/>
        <v>0</v>
      </c>
      <c r="N1353">
        <f t="shared" si="65"/>
        <v>0</v>
      </c>
    </row>
    <row r="1354" spans="1:14">
      <c r="A1354">
        <v>7653</v>
      </c>
      <c r="B1354" t="s">
        <v>1005</v>
      </c>
      <c r="C1354" t="s">
        <v>754</v>
      </c>
      <c r="D1354" t="s">
        <v>757</v>
      </c>
      <c r="E1354">
        <v>342330</v>
      </c>
      <c r="G1354" s="2">
        <v>0.20833333333333334</v>
      </c>
      <c r="H1354" s="2">
        <v>0.29166666666666669</v>
      </c>
      <c r="J1354">
        <v>1.8823529411764699</v>
      </c>
      <c r="K1354" t="s">
        <v>759</v>
      </c>
      <c r="L1354" t="str">
        <f t="shared" si="63"/>
        <v>33</v>
      </c>
      <c r="M1354">
        <f t="shared" si="64"/>
        <v>0</v>
      </c>
      <c r="N1354">
        <f t="shared" si="65"/>
        <v>0</v>
      </c>
    </row>
    <row r="1355" spans="1:14">
      <c r="A1355">
        <v>7653</v>
      </c>
      <c r="B1355" t="s">
        <v>1005</v>
      </c>
      <c r="C1355" t="s">
        <v>754</v>
      </c>
      <c r="D1355" t="s">
        <v>757</v>
      </c>
      <c r="E1355">
        <v>342330</v>
      </c>
      <c r="G1355" s="2">
        <v>0.29166666666666669</v>
      </c>
      <c r="H1355" s="2">
        <v>0.3888888888888889</v>
      </c>
      <c r="J1355">
        <v>2.1960784313725399</v>
      </c>
      <c r="K1355" t="s">
        <v>799</v>
      </c>
      <c r="L1355" t="str">
        <f t="shared" si="63"/>
        <v>33</v>
      </c>
      <c r="M1355">
        <f t="shared" si="64"/>
        <v>0</v>
      </c>
      <c r="N1355">
        <f t="shared" si="65"/>
        <v>0</v>
      </c>
    </row>
    <row r="1356" spans="1:14">
      <c r="A1356">
        <v>7653</v>
      </c>
      <c r="B1356" t="s">
        <v>1005</v>
      </c>
      <c r="C1356" t="s">
        <v>754</v>
      </c>
      <c r="D1356" t="s">
        <v>757</v>
      </c>
      <c r="E1356">
        <v>342330</v>
      </c>
      <c r="G1356" s="2">
        <v>0.3888888888888889</v>
      </c>
      <c r="H1356" s="2">
        <v>0.48680555555555555</v>
      </c>
      <c r="J1356">
        <v>2.21176470588235</v>
      </c>
      <c r="K1356" t="s">
        <v>806</v>
      </c>
      <c r="L1356" t="str">
        <f t="shared" si="63"/>
        <v>33</v>
      </c>
      <c r="M1356">
        <f t="shared" si="64"/>
        <v>0</v>
      </c>
      <c r="N1356">
        <f t="shared" si="65"/>
        <v>0</v>
      </c>
    </row>
    <row r="1357" spans="1:14">
      <c r="A1357">
        <v>7653</v>
      </c>
      <c r="B1357" t="s">
        <v>1005</v>
      </c>
      <c r="C1357" t="s">
        <v>754</v>
      </c>
      <c r="D1357" t="s">
        <v>757</v>
      </c>
      <c r="E1357">
        <v>342330</v>
      </c>
      <c r="G1357" s="2">
        <v>0.48680555555555555</v>
      </c>
      <c r="H1357" s="2">
        <v>0.49305555555555558</v>
      </c>
      <c r="J1357">
        <v>0.14117647058823499</v>
      </c>
      <c r="K1357" t="s">
        <v>834</v>
      </c>
      <c r="L1357" t="str">
        <f t="shared" si="63"/>
        <v>33</v>
      </c>
      <c r="M1357">
        <f t="shared" si="64"/>
        <v>0</v>
      </c>
      <c r="N1357">
        <f t="shared" si="65"/>
        <v>0</v>
      </c>
    </row>
    <row r="1358" spans="1:14">
      <c r="A1358">
        <v>7653</v>
      </c>
      <c r="B1358" t="s">
        <v>1005</v>
      </c>
      <c r="C1358" t="s">
        <v>754</v>
      </c>
      <c r="D1358" t="s">
        <v>757</v>
      </c>
      <c r="E1358">
        <v>342330</v>
      </c>
      <c r="G1358" s="2">
        <v>0.49305555555555558</v>
      </c>
      <c r="H1358" s="2">
        <v>0.52500000000000002</v>
      </c>
      <c r="J1358">
        <v>0.72156862745097905</v>
      </c>
      <c r="K1358" t="s">
        <v>799</v>
      </c>
      <c r="L1358" t="str">
        <f t="shared" si="63"/>
        <v>33</v>
      </c>
      <c r="M1358">
        <f t="shared" si="64"/>
        <v>0</v>
      </c>
      <c r="N1358">
        <f t="shared" si="65"/>
        <v>0</v>
      </c>
    </row>
    <row r="1359" spans="1:14">
      <c r="A1359">
        <v>7653</v>
      </c>
      <c r="B1359" t="s">
        <v>1005</v>
      </c>
      <c r="C1359" t="s">
        <v>754</v>
      </c>
      <c r="D1359" t="s">
        <v>757</v>
      </c>
      <c r="E1359">
        <v>342330</v>
      </c>
      <c r="G1359" s="2">
        <v>0.52500000000000002</v>
      </c>
      <c r="H1359" s="2">
        <v>0.5625</v>
      </c>
      <c r="J1359">
        <v>0.84705882352941098</v>
      </c>
      <c r="K1359" t="s">
        <v>806</v>
      </c>
      <c r="L1359" t="str">
        <f t="shared" si="63"/>
        <v>33</v>
      </c>
      <c r="M1359">
        <f t="shared" si="64"/>
        <v>0</v>
      </c>
      <c r="N1359">
        <f t="shared" si="65"/>
        <v>0</v>
      </c>
    </row>
    <row r="1360" spans="1:14">
      <c r="A1360">
        <v>7941</v>
      </c>
      <c r="B1360" t="s">
        <v>1154</v>
      </c>
      <c r="C1360" t="s">
        <v>755</v>
      </c>
      <c r="D1360" t="s">
        <v>788</v>
      </c>
      <c r="E1360">
        <v>838474</v>
      </c>
      <c r="G1360" s="2">
        <v>0.41180555555555554</v>
      </c>
      <c r="H1360" s="2">
        <v>0.4597222222222222</v>
      </c>
      <c r="J1360">
        <v>1.15160655026765</v>
      </c>
      <c r="K1360" t="s">
        <v>778</v>
      </c>
      <c r="L1360" t="str">
        <f t="shared" si="63"/>
        <v>37</v>
      </c>
      <c r="M1360">
        <f t="shared" si="64"/>
        <v>0</v>
      </c>
      <c r="N1360">
        <f t="shared" si="65"/>
        <v>0</v>
      </c>
    </row>
    <row r="1361" spans="1:14">
      <c r="A1361">
        <v>7941</v>
      </c>
      <c r="B1361" t="s">
        <v>1154</v>
      </c>
      <c r="C1361" t="s">
        <v>755</v>
      </c>
      <c r="D1361" t="s">
        <v>788</v>
      </c>
      <c r="E1361">
        <v>838474</v>
      </c>
      <c r="G1361" s="2">
        <v>0.4597222222222222</v>
      </c>
      <c r="H1361" s="2">
        <v>0.47430555555555554</v>
      </c>
      <c r="J1361">
        <v>0.35048895008146103</v>
      </c>
      <c r="K1361" t="s">
        <v>815</v>
      </c>
      <c r="L1361" t="str">
        <f t="shared" si="63"/>
        <v>46</v>
      </c>
      <c r="M1361">
        <f t="shared" si="64"/>
        <v>0</v>
      </c>
      <c r="N1361">
        <f t="shared" si="65"/>
        <v>0</v>
      </c>
    </row>
    <row r="1362" spans="1:14">
      <c r="A1362">
        <v>7941</v>
      </c>
      <c r="B1362" t="s">
        <v>1154</v>
      </c>
      <c r="C1362" t="s">
        <v>755</v>
      </c>
      <c r="D1362" t="s">
        <v>788</v>
      </c>
      <c r="E1362">
        <v>838474</v>
      </c>
      <c r="G1362" s="2">
        <v>0.47430555555555554</v>
      </c>
      <c r="H1362" s="2">
        <v>0.67083333333333339</v>
      </c>
      <c r="J1362">
        <v>4.7232558510977798</v>
      </c>
      <c r="K1362" t="s">
        <v>1267</v>
      </c>
      <c r="L1362" t="str">
        <f t="shared" si="63"/>
        <v>46</v>
      </c>
      <c r="M1362">
        <f t="shared" si="64"/>
        <v>0</v>
      </c>
      <c r="N1362">
        <f t="shared" si="65"/>
        <v>0</v>
      </c>
    </row>
    <row r="1363" spans="1:14">
      <c r="A1363">
        <v>7673</v>
      </c>
      <c r="B1363" t="s">
        <v>1155</v>
      </c>
      <c r="C1363" t="s">
        <v>754</v>
      </c>
      <c r="D1363" t="s">
        <v>866</v>
      </c>
      <c r="E1363">
        <v>199799</v>
      </c>
      <c r="G1363" s="2">
        <v>0.52152777777777781</v>
      </c>
      <c r="H1363" s="2">
        <v>0.76249999999999996</v>
      </c>
      <c r="J1363">
        <v>5.7905968384334798</v>
      </c>
      <c r="K1363" t="s">
        <v>790</v>
      </c>
      <c r="L1363" t="str">
        <f t="shared" si="63"/>
        <v>46</v>
      </c>
      <c r="M1363">
        <f t="shared" si="64"/>
        <v>0</v>
      </c>
      <c r="N1363">
        <f t="shared" si="65"/>
        <v>0</v>
      </c>
    </row>
    <row r="1364" spans="1:14">
      <c r="A1364">
        <v>7673</v>
      </c>
      <c r="B1364" t="s">
        <v>1155</v>
      </c>
      <c r="C1364" t="s">
        <v>754</v>
      </c>
      <c r="D1364" t="s">
        <v>866</v>
      </c>
      <c r="E1364">
        <v>199799</v>
      </c>
      <c r="G1364" s="2">
        <v>0.76249999999999996</v>
      </c>
      <c r="H1364" s="2">
        <v>0.84791666666666676</v>
      </c>
      <c r="J1364">
        <v>2.0525746718366502</v>
      </c>
      <c r="K1364" t="s">
        <v>767</v>
      </c>
      <c r="L1364" t="str">
        <f t="shared" si="63"/>
        <v>37</v>
      </c>
      <c r="M1364">
        <f t="shared" si="64"/>
        <v>0</v>
      </c>
      <c r="N1364">
        <f t="shared" si="65"/>
        <v>0</v>
      </c>
    </row>
    <row r="1365" spans="1:14">
      <c r="A1365">
        <v>7673</v>
      </c>
      <c r="B1365" t="s">
        <v>1155</v>
      </c>
      <c r="C1365" t="s">
        <v>754</v>
      </c>
      <c r="D1365" t="s">
        <v>866</v>
      </c>
      <c r="E1365">
        <v>199799</v>
      </c>
      <c r="G1365" s="2">
        <v>0.84791666666666676</v>
      </c>
      <c r="H1365" s="2">
        <v>0.89583333333333337</v>
      </c>
      <c r="I1365" s="2">
        <v>0.90416666666666667</v>
      </c>
      <c r="J1365">
        <v>1.35144432810348</v>
      </c>
      <c r="K1365" t="s">
        <v>759</v>
      </c>
      <c r="L1365" t="str">
        <f t="shared" si="63"/>
        <v>33</v>
      </c>
      <c r="M1365">
        <f t="shared" si="64"/>
        <v>8.3333333333333037E-3</v>
      </c>
      <c r="N1365">
        <f t="shared" si="65"/>
        <v>0.19999999999999929</v>
      </c>
    </row>
    <row r="1366" spans="1:14">
      <c r="A1366">
        <v>7673</v>
      </c>
      <c r="B1366" t="s">
        <v>1155</v>
      </c>
      <c r="C1366" t="s">
        <v>754</v>
      </c>
      <c r="D1366" t="s">
        <v>866</v>
      </c>
      <c r="E1366">
        <v>199799</v>
      </c>
      <c r="G1366" s="2">
        <v>0.90416666666666667</v>
      </c>
      <c r="H1366" s="2">
        <v>0.90416666666666667</v>
      </c>
      <c r="I1366" s="2">
        <v>0.90555555555555556</v>
      </c>
      <c r="J1366">
        <v>3.3333333333333298E-2</v>
      </c>
      <c r="K1366" t="s">
        <v>764</v>
      </c>
      <c r="L1366" t="str">
        <f t="shared" si="63"/>
        <v>33</v>
      </c>
      <c r="M1366">
        <f t="shared" si="64"/>
        <v>1.388888888888884E-3</v>
      </c>
      <c r="N1366">
        <f t="shared" si="65"/>
        <v>3.3333333333333215E-2</v>
      </c>
    </row>
    <row r="1367" spans="1:14">
      <c r="A1367">
        <v>7673</v>
      </c>
      <c r="B1367" t="s">
        <v>1155</v>
      </c>
      <c r="C1367" t="s">
        <v>754</v>
      </c>
      <c r="D1367" t="s">
        <v>866</v>
      </c>
      <c r="E1367">
        <v>199799</v>
      </c>
      <c r="G1367" s="2">
        <v>0.90555555555555556</v>
      </c>
      <c r="H1367" s="2">
        <v>0.90555555555555556</v>
      </c>
      <c r="I1367" s="2">
        <v>0.97916666666666663</v>
      </c>
      <c r="J1367">
        <v>1.7666666666666699</v>
      </c>
      <c r="K1367" t="s">
        <v>759</v>
      </c>
      <c r="L1367" t="str">
        <f t="shared" si="63"/>
        <v>33</v>
      </c>
      <c r="M1367">
        <f t="shared" si="64"/>
        <v>7.3611111111111072E-2</v>
      </c>
      <c r="N1367">
        <f t="shared" si="65"/>
        <v>1.7666666666666657</v>
      </c>
    </row>
    <row r="1368" spans="1:14">
      <c r="A1368">
        <v>7767</v>
      </c>
      <c r="B1368" t="s">
        <v>1268</v>
      </c>
      <c r="C1368" t="s">
        <v>754</v>
      </c>
      <c r="D1368" t="s">
        <v>802</v>
      </c>
      <c r="E1368">
        <v>429007</v>
      </c>
      <c r="G1368" s="2">
        <v>0.50486111111111109</v>
      </c>
      <c r="H1368" s="2">
        <v>0.89583333333333337</v>
      </c>
      <c r="I1368" s="2">
        <v>0.96527777777777779</v>
      </c>
      <c r="J1368">
        <v>11.0447934083977</v>
      </c>
      <c r="K1368" t="s">
        <v>1269</v>
      </c>
      <c r="L1368" t="str">
        <f t="shared" si="63"/>
        <v>33</v>
      </c>
      <c r="M1368">
        <f t="shared" si="64"/>
        <v>6.944444444444442E-2</v>
      </c>
      <c r="N1368">
        <f t="shared" si="65"/>
        <v>1.6666666666666661</v>
      </c>
    </row>
    <row r="1369" spans="1:14">
      <c r="A1369">
        <v>7384</v>
      </c>
      <c r="B1369" t="s">
        <v>1007</v>
      </c>
      <c r="C1369" t="s">
        <v>755</v>
      </c>
      <c r="D1369" t="s">
        <v>920</v>
      </c>
      <c r="E1369">
        <v>38329</v>
      </c>
      <c r="G1369" s="2">
        <v>0.39930555555555558</v>
      </c>
      <c r="H1369" s="2">
        <v>0.42152777777777778</v>
      </c>
      <c r="J1369">
        <v>0.50049637512499601</v>
      </c>
      <c r="K1369" t="s">
        <v>799</v>
      </c>
      <c r="L1369" t="str">
        <f t="shared" si="63"/>
        <v>33</v>
      </c>
      <c r="M1369">
        <f t="shared" si="64"/>
        <v>0</v>
      </c>
      <c r="N1369">
        <f t="shared" si="65"/>
        <v>0</v>
      </c>
    </row>
    <row r="1370" spans="1:14">
      <c r="A1370">
        <v>7384</v>
      </c>
      <c r="B1370" t="s">
        <v>1007</v>
      </c>
      <c r="C1370" t="s">
        <v>755</v>
      </c>
      <c r="D1370" t="s">
        <v>920</v>
      </c>
      <c r="E1370">
        <v>38329</v>
      </c>
      <c r="G1370" s="2">
        <v>0.42152777777777778</v>
      </c>
      <c r="H1370" s="2">
        <v>0.4236111111111111</v>
      </c>
      <c r="J1370">
        <v>4.6921535167968403E-2</v>
      </c>
      <c r="K1370" t="s">
        <v>812</v>
      </c>
      <c r="L1370" t="str">
        <f t="shared" si="63"/>
        <v>33</v>
      </c>
      <c r="M1370">
        <f t="shared" si="64"/>
        <v>0</v>
      </c>
      <c r="N1370">
        <f t="shared" si="65"/>
        <v>0</v>
      </c>
    </row>
    <row r="1371" spans="1:14">
      <c r="A1371">
        <v>7384</v>
      </c>
      <c r="B1371" t="s">
        <v>1007</v>
      </c>
      <c r="C1371" t="s">
        <v>755</v>
      </c>
      <c r="D1371" t="s">
        <v>920</v>
      </c>
      <c r="E1371">
        <v>38329</v>
      </c>
      <c r="G1371" s="2">
        <v>0.4236111111111111</v>
      </c>
      <c r="H1371" s="2">
        <v>0.42777777777777781</v>
      </c>
      <c r="J1371">
        <v>9.3843070335936807E-2</v>
      </c>
      <c r="K1371" t="s">
        <v>798</v>
      </c>
      <c r="L1371" t="str">
        <f t="shared" si="63"/>
        <v>33</v>
      </c>
      <c r="M1371">
        <f t="shared" si="64"/>
        <v>0</v>
      </c>
      <c r="N1371">
        <f t="shared" si="65"/>
        <v>0</v>
      </c>
    </row>
    <row r="1372" spans="1:14">
      <c r="A1372">
        <v>7384</v>
      </c>
      <c r="B1372" t="s">
        <v>1007</v>
      </c>
      <c r="C1372" t="s">
        <v>755</v>
      </c>
      <c r="D1372" t="s">
        <v>920</v>
      </c>
      <c r="E1372">
        <v>38329</v>
      </c>
      <c r="G1372" s="2">
        <v>0.42777777777777781</v>
      </c>
      <c r="H1372" s="2">
        <v>0.43263888888888885</v>
      </c>
      <c r="J1372">
        <v>0.109483582058593</v>
      </c>
      <c r="K1372" t="s">
        <v>812</v>
      </c>
      <c r="L1372" t="str">
        <f t="shared" si="63"/>
        <v>33</v>
      </c>
      <c r="M1372">
        <f t="shared" si="64"/>
        <v>0</v>
      </c>
      <c r="N1372">
        <f t="shared" si="65"/>
        <v>0</v>
      </c>
    </row>
    <row r="1373" spans="1:14">
      <c r="A1373">
        <v>7384</v>
      </c>
      <c r="B1373" t="s">
        <v>1007</v>
      </c>
      <c r="C1373" t="s">
        <v>755</v>
      </c>
      <c r="D1373" t="s">
        <v>920</v>
      </c>
      <c r="E1373">
        <v>38329</v>
      </c>
      <c r="G1373" s="2">
        <v>0.43263888888888885</v>
      </c>
      <c r="H1373" s="2">
        <v>0.44097222222222227</v>
      </c>
      <c r="J1373">
        <v>0.187686140671873</v>
      </c>
      <c r="K1373" t="s">
        <v>798</v>
      </c>
      <c r="L1373" t="str">
        <f t="shared" si="63"/>
        <v>33</v>
      </c>
      <c r="M1373">
        <f t="shared" si="64"/>
        <v>0</v>
      </c>
      <c r="N1373">
        <f t="shared" si="65"/>
        <v>0</v>
      </c>
    </row>
    <row r="1374" spans="1:14">
      <c r="A1374">
        <v>7384</v>
      </c>
      <c r="B1374" t="s">
        <v>1007</v>
      </c>
      <c r="C1374" t="s">
        <v>755</v>
      </c>
      <c r="D1374" t="s">
        <v>920</v>
      </c>
      <c r="E1374">
        <v>38329</v>
      </c>
      <c r="G1374" s="2">
        <v>0.44097222222222227</v>
      </c>
      <c r="H1374" s="2">
        <v>0.47013888888888888</v>
      </c>
      <c r="J1374">
        <v>0.65690149235155704</v>
      </c>
      <c r="K1374" t="s">
        <v>812</v>
      </c>
      <c r="L1374" t="str">
        <f t="shared" si="63"/>
        <v>33</v>
      </c>
      <c r="M1374">
        <f t="shared" si="64"/>
        <v>0</v>
      </c>
      <c r="N1374">
        <f t="shared" si="65"/>
        <v>0</v>
      </c>
    </row>
    <row r="1375" spans="1:14">
      <c r="A1375">
        <v>7384</v>
      </c>
      <c r="B1375" t="s">
        <v>1007</v>
      </c>
      <c r="C1375" t="s">
        <v>755</v>
      </c>
      <c r="D1375" t="s">
        <v>920</v>
      </c>
      <c r="E1375">
        <v>38329</v>
      </c>
      <c r="G1375" s="2">
        <v>0.47013888888888888</v>
      </c>
      <c r="H1375" s="2">
        <v>0.47361111111111115</v>
      </c>
      <c r="J1375">
        <v>7.8202558613280598E-2</v>
      </c>
      <c r="K1375" t="s">
        <v>798</v>
      </c>
      <c r="L1375" t="str">
        <f t="shared" si="63"/>
        <v>33</v>
      </c>
      <c r="M1375">
        <f t="shared" si="64"/>
        <v>0</v>
      </c>
      <c r="N1375">
        <f t="shared" si="65"/>
        <v>0</v>
      </c>
    </row>
    <row r="1376" spans="1:14">
      <c r="A1376">
        <v>7384</v>
      </c>
      <c r="B1376" t="s">
        <v>1007</v>
      </c>
      <c r="C1376" t="s">
        <v>755</v>
      </c>
      <c r="D1376" t="s">
        <v>920</v>
      </c>
      <c r="E1376">
        <v>38329</v>
      </c>
      <c r="G1376" s="2">
        <v>0.47361111111111115</v>
      </c>
      <c r="H1376" s="2">
        <v>0.51249999999999996</v>
      </c>
      <c r="J1376">
        <v>0.87586865646874301</v>
      </c>
      <c r="K1376" t="s">
        <v>812</v>
      </c>
      <c r="L1376" t="str">
        <f t="shared" si="63"/>
        <v>33</v>
      </c>
      <c r="M1376">
        <f t="shared" si="64"/>
        <v>0</v>
      </c>
      <c r="N1376">
        <f t="shared" si="65"/>
        <v>0</v>
      </c>
    </row>
    <row r="1377" spans="1:14">
      <c r="A1377">
        <v>7384</v>
      </c>
      <c r="B1377" t="s">
        <v>1007</v>
      </c>
      <c r="C1377" t="s">
        <v>755</v>
      </c>
      <c r="D1377" t="s">
        <v>920</v>
      </c>
      <c r="E1377">
        <v>38329</v>
      </c>
      <c r="G1377" s="2">
        <v>0.51249999999999996</v>
      </c>
      <c r="H1377" s="2">
        <v>0.5180555555555556</v>
      </c>
      <c r="J1377">
        <v>0.125124093781248</v>
      </c>
      <c r="K1377" t="s">
        <v>798</v>
      </c>
      <c r="L1377" t="str">
        <f t="shared" si="63"/>
        <v>33</v>
      </c>
      <c r="M1377">
        <f t="shared" si="64"/>
        <v>0</v>
      </c>
      <c r="N1377">
        <f t="shared" si="65"/>
        <v>0</v>
      </c>
    </row>
    <row r="1378" spans="1:14">
      <c r="A1378">
        <v>7384</v>
      </c>
      <c r="B1378" t="s">
        <v>1007</v>
      </c>
      <c r="C1378" t="s">
        <v>755</v>
      </c>
      <c r="D1378" t="s">
        <v>920</v>
      </c>
      <c r="E1378">
        <v>38329</v>
      </c>
      <c r="G1378" s="2">
        <v>0.5180555555555556</v>
      </c>
      <c r="H1378" s="2">
        <v>0.5180555555555556</v>
      </c>
      <c r="J1378">
        <v>0</v>
      </c>
      <c r="K1378" t="s">
        <v>806</v>
      </c>
      <c r="L1378" t="str">
        <f t="shared" si="63"/>
        <v>33</v>
      </c>
      <c r="M1378">
        <f t="shared" si="64"/>
        <v>0</v>
      </c>
      <c r="N1378">
        <f t="shared" si="65"/>
        <v>0</v>
      </c>
    </row>
    <row r="1379" spans="1:14">
      <c r="A1379">
        <v>7384</v>
      </c>
      <c r="B1379" t="s">
        <v>1007</v>
      </c>
      <c r="C1379" t="s">
        <v>755</v>
      </c>
      <c r="D1379" t="s">
        <v>920</v>
      </c>
      <c r="E1379">
        <v>38329</v>
      </c>
      <c r="G1379" s="2">
        <v>0.5180555555555556</v>
      </c>
      <c r="H1379" s="2">
        <v>0.5541666666666667</v>
      </c>
      <c r="J1379">
        <v>0.81330660957811796</v>
      </c>
      <c r="K1379" t="s">
        <v>812</v>
      </c>
      <c r="L1379" t="str">
        <f t="shared" si="63"/>
        <v>33</v>
      </c>
      <c r="M1379">
        <f t="shared" si="64"/>
        <v>0</v>
      </c>
      <c r="N1379">
        <f t="shared" si="65"/>
        <v>0</v>
      </c>
    </row>
    <row r="1380" spans="1:14">
      <c r="A1380">
        <v>7384</v>
      </c>
      <c r="B1380" t="s">
        <v>1007</v>
      </c>
      <c r="C1380" t="s">
        <v>755</v>
      </c>
      <c r="D1380" t="s">
        <v>920</v>
      </c>
      <c r="E1380">
        <v>38329</v>
      </c>
      <c r="G1380" s="2">
        <v>0.5541666666666667</v>
      </c>
      <c r="H1380" s="2">
        <v>0.56041666666666667</v>
      </c>
      <c r="J1380">
        <v>0.14076460550390499</v>
      </c>
      <c r="K1380" t="s">
        <v>798</v>
      </c>
      <c r="L1380" t="str">
        <f t="shared" si="63"/>
        <v>33</v>
      </c>
      <c r="M1380">
        <f t="shared" si="64"/>
        <v>0</v>
      </c>
      <c r="N1380">
        <f t="shared" si="65"/>
        <v>0</v>
      </c>
    </row>
    <row r="1381" spans="1:14">
      <c r="A1381">
        <v>7384</v>
      </c>
      <c r="B1381" t="s">
        <v>1007</v>
      </c>
      <c r="C1381" t="s">
        <v>755</v>
      </c>
      <c r="D1381" t="s">
        <v>920</v>
      </c>
      <c r="E1381">
        <v>38329</v>
      </c>
      <c r="G1381" s="2">
        <v>0.56041666666666667</v>
      </c>
      <c r="H1381" s="2">
        <v>0.59513888888888888</v>
      </c>
      <c r="J1381">
        <v>0.78202558613280604</v>
      </c>
      <c r="K1381" t="s">
        <v>812</v>
      </c>
      <c r="L1381" t="str">
        <f t="shared" si="63"/>
        <v>33</v>
      </c>
      <c r="M1381">
        <f t="shared" si="64"/>
        <v>0</v>
      </c>
      <c r="N1381">
        <f t="shared" si="65"/>
        <v>0</v>
      </c>
    </row>
    <row r="1382" spans="1:14">
      <c r="A1382">
        <v>7384</v>
      </c>
      <c r="B1382" t="s">
        <v>1007</v>
      </c>
      <c r="C1382" t="s">
        <v>755</v>
      </c>
      <c r="D1382" t="s">
        <v>920</v>
      </c>
      <c r="E1382">
        <v>38329</v>
      </c>
      <c r="G1382" s="2">
        <v>0.59513888888888888</v>
      </c>
      <c r="H1382" s="2">
        <v>0.72916666666666663</v>
      </c>
      <c r="J1382">
        <v>3.0186187624726299</v>
      </c>
      <c r="K1382" t="s">
        <v>759</v>
      </c>
      <c r="L1382" t="str">
        <f t="shared" si="63"/>
        <v>33</v>
      </c>
      <c r="M1382">
        <f t="shared" si="64"/>
        <v>0</v>
      </c>
      <c r="N1382">
        <f t="shared" si="65"/>
        <v>0</v>
      </c>
    </row>
    <row r="1383" spans="1:14">
      <c r="A1383">
        <v>7878</v>
      </c>
      <c r="B1383" t="s">
        <v>1270</v>
      </c>
      <c r="C1383" t="s">
        <v>756</v>
      </c>
      <c r="E1383">
        <v>531244</v>
      </c>
      <c r="G1383" s="2">
        <v>0.22500000000000001</v>
      </c>
      <c r="H1383" s="2">
        <v>0.46875</v>
      </c>
      <c r="J1383">
        <v>5.8474285714284902</v>
      </c>
      <c r="K1383" t="s">
        <v>759</v>
      </c>
      <c r="L1383" t="str">
        <f t="shared" si="63"/>
        <v>33</v>
      </c>
      <c r="M1383">
        <f t="shared" si="64"/>
        <v>0</v>
      </c>
      <c r="N1383">
        <f t="shared" si="65"/>
        <v>0</v>
      </c>
    </row>
    <row r="1384" spans="1:14">
      <c r="A1384">
        <v>7195</v>
      </c>
      <c r="B1384" t="s">
        <v>1271</v>
      </c>
      <c r="C1384" t="s">
        <v>754</v>
      </c>
      <c r="D1384" t="s">
        <v>839</v>
      </c>
      <c r="E1384">
        <v>26274</v>
      </c>
      <c r="G1384" s="2">
        <v>0.16458333333333333</v>
      </c>
      <c r="H1384" s="2">
        <v>0.375</v>
      </c>
      <c r="J1384">
        <v>5.0485714285713801</v>
      </c>
      <c r="K1384" t="s">
        <v>785</v>
      </c>
      <c r="L1384" t="str">
        <f t="shared" si="63"/>
        <v>33</v>
      </c>
      <c r="M1384">
        <f t="shared" si="64"/>
        <v>0</v>
      </c>
      <c r="N1384">
        <f t="shared" si="65"/>
        <v>0</v>
      </c>
    </row>
    <row r="1385" spans="1:14">
      <c r="A1385">
        <v>7918</v>
      </c>
      <c r="B1385" t="s">
        <v>1156</v>
      </c>
      <c r="C1385" t="s">
        <v>755</v>
      </c>
      <c r="D1385" t="s">
        <v>818</v>
      </c>
      <c r="E1385">
        <v>801178</v>
      </c>
      <c r="G1385" s="2">
        <v>0.50694444444444442</v>
      </c>
      <c r="H1385" s="2">
        <v>0.7</v>
      </c>
      <c r="J1385">
        <v>4.6308879245600902</v>
      </c>
      <c r="K1385" t="s">
        <v>759</v>
      </c>
      <c r="L1385" t="str">
        <f t="shared" si="63"/>
        <v>33</v>
      </c>
      <c r="M1385">
        <f t="shared" si="64"/>
        <v>0</v>
      </c>
      <c r="N1385">
        <f t="shared" si="65"/>
        <v>0</v>
      </c>
    </row>
    <row r="1386" spans="1:14">
      <c r="A1386">
        <v>7918</v>
      </c>
      <c r="B1386" t="s">
        <v>1156</v>
      </c>
      <c r="C1386" t="s">
        <v>755</v>
      </c>
      <c r="D1386" t="s">
        <v>818</v>
      </c>
      <c r="E1386">
        <v>801178</v>
      </c>
      <c r="G1386" s="2">
        <v>0.7</v>
      </c>
      <c r="H1386" s="2">
        <v>0.70833333333333337</v>
      </c>
      <c r="J1386">
        <v>0.19989444278676699</v>
      </c>
      <c r="K1386" t="s">
        <v>798</v>
      </c>
      <c r="L1386" t="str">
        <f t="shared" si="63"/>
        <v>33</v>
      </c>
      <c r="M1386">
        <f t="shared" si="64"/>
        <v>0</v>
      </c>
      <c r="N1386">
        <f t="shared" si="65"/>
        <v>0</v>
      </c>
    </row>
    <row r="1387" spans="1:14">
      <c r="A1387">
        <v>7918</v>
      </c>
      <c r="B1387" t="s">
        <v>1156</v>
      </c>
      <c r="C1387" t="s">
        <v>755</v>
      </c>
      <c r="D1387" t="s">
        <v>818</v>
      </c>
      <c r="E1387">
        <v>801178</v>
      </c>
      <c r="G1387" s="2">
        <v>0.70833333333333337</v>
      </c>
      <c r="H1387" s="2">
        <v>0.71736111111111101</v>
      </c>
      <c r="J1387">
        <v>0.21655231301899699</v>
      </c>
      <c r="K1387" t="s">
        <v>812</v>
      </c>
      <c r="L1387" t="str">
        <f t="shared" si="63"/>
        <v>33</v>
      </c>
      <c r="M1387">
        <f t="shared" si="64"/>
        <v>0</v>
      </c>
      <c r="N1387">
        <f t="shared" si="65"/>
        <v>0</v>
      </c>
    </row>
    <row r="1388" spans="1:14">
      <c r="A1388">
        <v>7918</v>
      </c>
      <c r="B1388" t="s">
        <v>1156</v>
      </c>
      <c r="C1388" t="s">
        <v>755</v>
      </c>
      <c r="D1388" t="s">
        <v>818</v>
      </c>
      <c r="E1388">
        <v>801178</v>
      </c>
      <c r="G1388" s="2">
        <v>0.71736111111111101</v>
      </c>
      <c r="H1388" s="2">
        <v>0.71944444444444444</v>
      </c>
      <c r="J1388">
        <v>4.9973610696691699E-2</v>
      </c>
      <c r="K1388" t="s">
        <v>798</v>
      </c>
      <c r="L1388" t="str">
        <f t="shared" si="63"/>
        <v>33</v>
      </c>
      <c r="M1388">
        <f t="shared" si="64"/>
        <v>0</v>
      </c>
      <c r="N1388">
        <f t="shared" si="65"/>
        <v>0</v>
      </c>
    </row>
    <row r="1389" spans="1:14">
      <c r="A1389">
        <v>7918</v>
      </c>
      <c r="B1389" t="s">
        <v>1156</v>
      </c>
      <c r="C1389" t="s">
        <v>755</v>
      </c>
      <c r="D1389" t="s">
        <v>818</v>
      </c>
      <c r="E1389">
        <v>801178</v>
      </c>
      <c r="G1389" s="2">
        <v>0.71944444444444444</v>
      </c>
      <c r="H1389" s="2">
        <v>0.7270833333333333</v>
      </c>
      <c r="J1389">
        <v>0.18323657255453599</v>
      </c>
      <c r="K1389" t="s">
        <v>812</v>
      </c>
      <c r="L1389" t="str">
        <f t="shared" si="63"/>
        <v>33</v>
      </c>
      <c r="M1389">
        <f t="shared" si="64"/>
        <v>0</v>
      </c>
      <c r="N1389">
        <f t="shared" si="65"/>
        <v>0</v>
      </c>
    </row>
    <row r="1390" spans="1:14">
      <c r="A1390">
        <v>7918</v>
      </c>
      <c r="B1390" t="s">
        <v>1156</v>
      </c>
      <c r="C1390" t="s">
        <v>755</v>
      </c>
      <c r="D1390" t="s">
        <v>818</v>
      </c>
      <c r="E1390">
        <v>801178</v>
      </c>
      <c r="G1390" s="2">
        <v>0.7270833333333333</v>
      </c>
      <c r="H1390" s="2">
        <v>0.72916666666666663</v>
      </c>
      <c r="J1390">
        <v>4.9973610696691699E-2</v>
      </c>
      <c r="K1390" t="s">
        <v>798</v>
      </c>
      <c r="L1390" t="str">
        <f t="shared" si="63"/>
        <v>33</v>
      </c>
      <c r="M1390">
        <f t="shared" si="64"/>
        <v>0</v>
      </c>
      <c r="N1390">
        <f t="shared" si="65"/>
        <v>0</v>
      </c>
    </row>
    <row r="1391" spans="1:14">
      <c r="A1391">
        <v>7918</v>
      </c>
      <c r="B1391" t="s">
        <v>1156</v>
      </c>
      <c r="C1391" t="s">
        <v>755</v>
      </c>
      <c r="D1391" t="s">
        <v>818</v>
      </c>
      <c r="E1391">
        <v>801178</v>
      </c>
      <c r="G1391" s="2">
        <v>0.72916666666666663</v>
      </c>
      <c r="H1391" s="2">
        <v>0.73750000000000004</v>
      </c>
      <c r="J1391">
        <v>0.19989444278676699</v>
      </c>
      <c r="K1391" t="s">
        <v>800</v>
      </c>
      <c r="L1391" t="str">
        <f t="shared" si="63"/>
        <v>33</v>
      </c>
      <c r="M1391">
        <f t="shared" si="64"/>
        <v>0</v>
      </c>
      <c r="N1391">
        <f t="shared" si="65"/>
        <v>0</v>
      </c>
    </row>
    <row r="1392" spans="1:14">
      <c r="A1392">
        <v>7918</v>
      </c>
      <c r="B1392" t="s">
        <v>1156</v>
      </c>
      <c r="C1392" t="s">
        <v>755</v>
      </c>
      <c r="D1392" t="s">
        <v>818</v>
      </c>
      <c r="E1392">
        <v>801178</v>
      </c>
      <c r="G1392" s="2">
        <v>0.73750000000000004</v>
      </c>
      <c r="H1392" s="2">
        <v>0.77847222222222223</v>
      </c>
      <c r="J1392">
        <v>0.98281434370160403</v>
      </c>
      <c r="K1392" t="s">
        <v>798</v>
      </c>
      <c r="L1392" t="str">
        <f t="shared" si="63"/>
        <v>33</v>
      </c>
      <c r="M1392">
        <f t="shared" si="64"/>
        <v>0</v>
      </c>
      <c r="N1392">
        <f t="shared" si="65"/>
        <v>0</v>
      </c>
    </row>
    <row r="1393" spans="1:14">
      <c r="A1393">
        <v>7918</v>
      </c>
      <c r="B1393" t="s">
        <v>1156</v>
      </c>
      <c r="C1393" t="s">
        <v>755</v>
      </c>
      <c r="D1393" t="s">
        <v>818</v>
      </c>
      <c r="E1393">
        <v>801178</v>
      </c>
      <c r="G1393" s="2">
        <v>0.77847222222222223</v>
      </c>
      <c r="H1393" s="2">
        <v>0.78611111111111109</v>
      </c>
      <c r="J1393">
        <v>0.18323657255453599</v>
      </c>
      <c r="K1393" t="s">
        <v>812</v>
      </c>
      <c r="L1393" t="str">
        <f t="shared" si="63"/>
        <v>33</v>
      </c>
      <c r="M1393">
        <f t="shared" si="64"/>
        <v>0</v>
      </c>
      <c r="N1393">
        <f t="shared" si="65"/>
        <v>0</v>
      </c>
    </row>
    <row r="1394" spans="1:14">
      <c r="A1394">
        <v>7918</v>
      </c>
      <c r="B1394" t="s">
        <v>1156</v>
      </c>
      <c r="C1394" t="s">
        <v>755</v>
      </c>
      <c r="D1394" t="s">
        <v>818</v>
      </c>
      <c r="E1394">
        <v>801178</v>
      </c>
      <c r="G1394" s="2">
        <v>0.78611111111111109</v>
      </c>
      <c r="H1394" s="2">
        <v>0.78888888888888886</v>
      </c>
      <c r="J1394">
        <v>6.6631480928922293E-2</v>
      </c>
      <c r="K1394" t="s">
        <v>798</v>
      </c>
      <c r="L1394" t="str">
        <f t="shared" si="63"/>
        <v>33</v>
      </c>
      <c r="M1394">
        <f t="shared" si="64"/>
        <v>0</v>
      </c>
      <c r="N1394">
        <f t="shared" si="65"/>
        <v>0</v>
      </c>
    </row>
    <row r="1395" spans="1:14">
      <c r="A1395">
        <v>7918</v>
      </c>
      <c r="B1395" t="s">
        <v>1156</v>
      </c>
      <c r="C1395" t="s">
        <v>755</v>
      </c>
      <c r="D1395" t="s">
        <v>818</v>
      </c>
      <c r="E1395">
        <v>801178</v>
      </c>
      <c r="G1395" s="2">
        <v>0.78888888888888886</v>
      </c>
      <c r="H1395" s="2">
        <v>0.82499999999999996</v>
      </c>
      <c r="J1395">
        <v>0.86620925207598898</v>
      </c>
      <c r="K1395" t="s">
        <v>806</v>
      </c>
      <c r="L1395" t="str">
        <f t="shared" si="63"/>
        <v>33</v>
      </c>
      <c r="M1395">
        <f t="shared" si="64"/>
        <v>0</v>
      </c>
      <c r="N1395">
        <f t="shared" si="65"/>
        <v>0</v>
      </c>
    </row>
    <row r="1396" spans="1:14">
      <c r="A1396">
        <v>7918</v>
      </c>
      <c r="B1396" t="s">
        <v>1156</v>
      </c>
      <c r="C1396" t="s">
        <v>755</v>
      </c>
      <c r="D1396" t="s">
        <v>818</v>
      </c>
      <c r="E1396">
        <v>801178</v>
      </c>
      <c r="G1396" s="2">
        <v>0.82499999999999996</v>
      </c>
      <c r="H1396" s="2">
        <v>0.83750000000000002</v>
      </c>
      <c r="J1396">
        <v>0.29984166418015001</v>
      </c>
      <c r="K1396" t="s">
        <v>798</v>
      </c>
      <c r="L1396" t="str">
        <f t="shared" si="63"/>
        <v>33</v>
      </c>
      <c r="M1396">
        <f t="shared" si="64"/>
        <v>0</v>
      </c>
      <c r="N1396">
        <f t="shared" si="65"/>
        <v>0</v>
      </c>
    </row>
    <row r="1397" spans="1:14">
      <c r="A1397">
        <v>7918</v>
      </c>
      <c r="B1397" t="s">
        <v>1156</v>
      </c>
      <c r="C1397" t="s">
        <v>755</v>
      </c>
      <c r="D1397" t="s">
        <v>818</v>
      </c>
      <c r="E1397">
        <v>801178</v>
      </c>
      <c r="G1397" s="2">
        <v>0.83750000000000002</v>
      </c>
      <c r="H1397" s="2">
        <v>0.85416666666666663</v>
      </c>
      <c r="J1397">
        <v>0.39978888557353398</v>
      </c>
      <c r="K1397" t="s">
        <v>806</v>
      </c>
      <c r="L1397" t="str">
        <f t="shared" si="63"/>
        <v>33</v>
      </c>
      <c r="M1397">
        <f t="shared" si="64"/>
        <v>0</v>
      </c>
      <c r="N1397">
        <f t="shared" si="65"/>
        <v>0</v>
      </c>
    </row>
    <row r="1398" spans="1:14">
      <c r="A1398">
        <v>4092</v>
      </c>
      <c r="B1398" t="s">
        <v>1272</v>
      </c>
      <c r="C1398" t="s">
        <v>756</v>
      </c>
      <c r="E1398">
        <v>909064</v>
      </c>
      <c r="G1398" s="2">
        <v>0.22361111111111109</v>
      </c>
      <c r="H1398" s="2">
        <v>0.55208333333333337</v>
      </c>
      <c r="J1398">
        <v>7.3792815622799699</v>
      </c>
      <c r="K1398" t="s">
        <v>759</v>
      </c>
      <c r="L1398" t="str">
        <f t="shared" si="63"/>
        <v>33</v>
      </c>
      <c r="M1398">
        <f t="shared" si="64"/>
        <v>0</v>
      </c>
      <c r="N1398">
        <f t="shared" si="65"/>
        <v>0</v>
      </c>
    </row>
    <row r="1399" spans="1:14">
      <c r="A1399">
        <v>7937</v>
      </c>
      <c r="B1399" t="s">
        <v>1008</v>
      </c>
      <c r="C1399" t="s">
        <v>756</v>
      </c>
      <c r="E1399">
        <v>838139</v>
      </c>
      <c r="G1399" s="2">
        <v>0.22708333333333333</v>
      </c>
      <c r="H1399" s="2">
        <v>0.38819444444444445</v>
      </c>
      <c r="J1399">
        <v>3.6168266527123101</v>
      </c>
      <c r="K1399" t="s">
        <v>870</v>
      </c>
      <c r="L1399" t="str">
        <f t="shared" si="63"/>
        <v>37</v>
      </c>
      <c r="M1399">
        <f t="shared" si="64"/>
        <v>0</v>
      </c>
      <c r="N1399">
        <f t="shared" si="65"/>
        <v>0</v>
      </c>
    </row>
    <row r="1400" spans="1:14">
      <c r="A1400">
        <v>7937</v>
      </c>
      <c r="B1400" t="s">
        <v>1008</v>
      </c>
      <c r="C1400" t="s">
        <v>756</v>
      </c>
      <c r="E1400">
        <v>838139</v>
      </c>
      <c r="G1400" s="2">
        <v>0.38819444444444445</v>
      </c>
      <c r="H1400" s="2">
        <v>0.55208333333333337</v>
      </c>
      <c r="J1400">
        <v>3.6791857329314799</v>
      </c>
      <c r="K1400" t="s">
        <v>778</v>
      </c>
      <c r="L1400" t="str">
        <f t="shared" si="63"/>
        <v>37</v>
      </c>
      <c r="M1400">
        <f t="shared" si="64"/>
        <v>0</v>
      </c>
      <c r="N1400">
        <f t="shared" si="65"/>
        <v>0</v>
      </c>
    </row>
    <row r="1401" spans="1:14">
      <c r="A1401">
        <v>7857</v>
      </c>
      <c r="B1401" t="s">
        <v>1009</v>
      </c>
      <c r="C1401" t="s">
        <v>756</v>
      </c>
      <c r="E1401">
        <v>521413</v>
      </c>
      <c r="G1401" s="2">
        <v>0.22152777777777777</v>
      </c>
      <c r="H1401" s="2">
        <v>0.25416666666666665</v>
      </c>
      <c r="J1401">
        <v>0.73355971472331605</v>
      </c>
      <c r="K1401" t="s">
        <v>798</v>
      </c>
      <c r="L1401" t="str">
        <f t="shared" si="63"/>
        <v>33</v>
      </c>
      <c r="M1401">
        <f t="shared" si="64"/>
        <v>0</v>
      </c>
      <c r="N1401">
        <f t="shared" si="65"/>
        <v>0</v>
      </c>
    </row>
    <row r="1402" spans="1:14">
      <c r="A1402">
        <v>7857</v>
      </c>
      <c r="B1402" t="s">
        <v>1009</v>
      </c>
      <c r="C1402" t="s">
        <v>756</v>
      </c>
      <c r="E1402">
        <v>521413</v>
      </c>
      <c r="G1402" s="2">
        <v>0.25416666666666665</v>
      </c>
      <c r="H1402" s="2">
        <v>0.2638888888888889</v>
      </c>
      <c r="J1402">
        <v>0.218507149066519</v>
      </c>
      <c r="K1402" t="s">
        <v>813</v>
      </c>
      <c r="L1402" t="str">
        <f t="shared" si="63"/>
        <v>33</v>
      </c>
      <c r="M1402">
        <f t="shared" si="64"/>
        <v>0</v>
      </c>
      <c r="N1402">
        <f t="shared" si="65"/>
        <v>0</v>
      </c>
    </row>
    <row r="1403" spans="1:14">
      <c r="A1403">
        <v>7857</v>
      </c>
      <c r="B1403" t="s">
        <v>1009</v>
      </c>
      <c r="C1403" t="s">
        <v>756</v>
      </c>
      <c r="E1403">
        <v>521413</v>
      </c>
      <c r="G1403" s="2">
        <v>0.2638888888888889</v>
      </c>
      <c r="H1403" s="2">
        <v>0.38472222222222219</v>
      </c>
      <c r="J1403">
        <v>2.7157317098267399</v>
      </c>
      <c r="K1403" t="s">
        <v>798</v>
      </c>
      <c r="L1403" t="str">
        <f t="shared" si="63"/>
        <v>33</v>
      </c>
      <c r="M1403">
        <f t="shared" si="64"/>
        <v>0</v>
      </c>
      <c r="N1403">
        <f t="shared" si="65"/>
        <v>0</v>
      </c>
    </row>
    <row r="1404" spans="1:14">
      <c r="A1404">
        <v>7857</v>
      </c>
      <c r="B1404" t="s">
        <v>1009</v>
      </c>
      <c r="C1404" t="s">
        <v>756</v>
      </c>
      <c r="E1404">
        <v>521413</v>
      </c>
      <c r="G1404" s="2">
        <v>0.38472222222222219</v>
      </c>
      <c r="H1404" s="2">
        <v>0.55208333333333337</v>
      </c>
      <c r="J1404">
        <v>3.7614444946450898</v>
      </c>
      <c r="K1404" t="s">
        <v>760</v>
      </c>
      <c r="L1404" t="str">
        <f t="shared" si="63"/>
        <v>33</v>
      </c>
      <c r="M1404">
        <f t="shared" si="64"/>
        <v>0</v>
      </c>
      <c r="N1404">
        <f t="shared" si="65"/>
        <v>0</v>
      </c>
    </row>
    <row r="1405" spans="1:14">
      <c r="A1405">
        <v>4124</v>
      </c>
      <c r="B1405" t="s">
        <v>1010</v>
      </c>
      <c r="C1405" t="s">
        <v>756</v>
      </c>
      <c r="E1405">
        <v>918312</v>
      </c>
      <c r="G1405" s="2">
        <v>0.22569444444444445</v>
      </c>
      <c r="H1405" s="2">
        <v>0.46875</v>
      </c>
      <c r="J1405">
        <v>5.8307857142856401</v>
      </c>
      <c r="K1405" t="s">
        <v>778</v>
      </c>
      <c r="L1405" t="str">
        <f t="shared" si="63"/>
        <v>37</v>
      </c>
      <c r="M1405">
        <f t="shared" si="64"/>
        <v>0</v>
      </c>
      <c r="N1405">
        <f t="shared" si="65"/>
        <v>0</v>
      </c>
    </row>
    <row r="1406" spans="1:14">
      <c r="A1406">
        <v>7943</v>
      </c>
      <c r="B1406" t="s">
        <v>1273</v>
      </c>
      <c r="C1406" t="s">
        <v>755</v>
      </c>
      <c r="D1406" t="s">
        <v>777</v>
      </c>
      <c r="E1406">
        <v>837862</v>
      </c>
      <c r="G1406" s="2">
        <v>0.29652777777777778</v>
      </c>
      <c r="H1406" s="2">
        <v>0.46527777777777773</v>
      </c>
      <c r="J1406">
        <v>4.05</v>
      </c>
      <c r="K1406" t="s">
        <v>778</v>
      </c>
      <c r="L1406" t="str">
        <f t="shared" si="63"/>
        <v>37</v>
      </c>
      <c r="M1406">
        <f t="shared" si="64"/>
        <v>0</v>
      </c>
      <c r="N1406">
        <f t="shared" si="65"/>
        <v>0</v>
      </c>
    </row>
    <row r="1407" spans="1:14">
      <c r="A1407">
        <v>7943</v>
      </c>
      <c r="B1407" t="s">
        <v>1273</v>
      </c>
      <c r="C1407" t="s">
        <v>755</v>
      </c>
      <c r="D1407" t="s">
        <v>777</v>
      </c>
      <c r="E1407">
        <v>837862</v>
      </c>
      <c r="G1407" s="2">
        <v>0.46527777777777773</v>
      </c>
      <c r="H1407" s="2">
        <v>0.54652777777777783</v>
      </c>
      <c r="J1407">
        <v>1.95</v>
      </c>
      <c r="K1407" t="s">
        <v>870</v>
      </c>
      <c r="L1407" t="str">
        <f t="shared" si="63"/>
        <v>37</v>
      </c>
      <c r="M1407">
        <f t="shared" si="64"/>
        <v>0</v>
      </c>
      <c r="N1407">
        <f t="shared" si="65"/>
        <v>0</v>
      </c>
    </row>
    <row r="1408" spans="1:14">
      <c r="A1408">
        <v>7898</v>
      </c>
      <c r="B1408" t="s">
        <v>1011</v>
      </c>
      <c r="C1408" t="s">
        <v>754</v>
      </c>
      <c r="D1408" t="s">
        <v>757</v>
      </c>
      <c r="E1408">
        <v>535827</v>
      </c>
      <c r="G1408" s="2">
        <v>0.21388888888888891</v>
      </c>
      <c r="H1408" s="2">
        <v>0.45833333333333331</v>
      </c>
      <c r="J1408">
        <v>5.8807142857142098</v>
      </c>
      <c r="K1408" t="s">
        <v>760</v>
      </c>
      <c r="L1408" t="str">
        <f t="shared" si="63"/>
        <v>33</v>
      </c>
      <c r="M1408">
        <f t="shared" si="64"/>
        <v>0</v>
      </c>
      <c r="N1408">
        <f t="shared" si="65"/>
        <v>0</v>
      </c>
    </row>
    <row r="1409" spans="1:14">
      <c r="A1409">
        <v>4064</v>
      </c>
      <c r="B1409" t="s">
        <v>1274</v>
      </c>
      <c r="C1409" t="s">
        <v>756</v>
      </c>
      <c r="E1409">
        <v>907706</v>
      </c>
      <c r="G1409" s="2">
        <v>0.48819444444444443</v>
      </c>
      <c r="H1409" s="2">
        <v>0.54097222222222219</v>
      </c>
      <c r="J1409">
        <v>1.26612433100039</v>
      </c>
      <c r="K1409" t="s">
        <v>817</v>
      </c>
      <c r="L1409" t="str">
        <f t="shared" si="63"/>
        <v>46</v>
      </c>
      <c r="M1409">
        <f t="shared" si="64"/>
        <v>0</v>
      </c>
      <c r="N1409">
        <f t="shared" si="65"/>
        <v>0</v>
      </c>
    </row>
    <row r="1410" spans="1:14">
      <c r="A1410">
        <v>4064</v>
      </c>
      <c r="B1410" t="s">
        <v>1274</v>
      </c>
      <c r="C1410" t="s">
        <v>756</v>
      </c>
      <c r="E1410">
        <v>907706</v>
      </c>
      <c r="G1410" s="2">
        <v>0.54097222222222219</v>
      </c>
      <c r="H1410" s="2">
        <v>0.54374999999999996</v>
      </c>
      <c r="J1410">
        <v>6.6638122684231402E-2</v>
      </c>
      <c r="K1410" t="s">
        <v>877</v>
      </c>
      <c r="L1410" t="str">
        <f t="shared" ref="L1410:L1473" si="66">RIGHT(LEFT(K1410,4),2)</f>
        <v>46</v>
      </c>
      <c r="M1410">
        <f t="shared" ref="M1410:M1473" si="67">IF(I1410=0,0,I1410-H1410)+IF(F1410=0,0,G1410-F1410)</f>
        <v>0</v>
      </c>
      <c r="N1410">
        <f t="shared" ref="N1410:N1473" si="68">(M1410-INT(M1410))*24</f>
        <v>0</v>
      </c>
    </row>
    <row r="1411" spans="1:14">
      <c r="A1411">
        <v>4064</v>
      </c>
      <c r="B1411" t="s">
        <v>1274</v>
      </c>
      <c r="C1411" t="s">
        <v>756</v>
      </c>
      <c r="E1411">
        <v>907706</v>
      </c>
      <c r="G1411" s="2">
        <v>0.54374999999999996</v>
      </c>
      <c r="H1411" s="2">
        <v>0.6020833333333333</v>
      </c>
      <c r="J1411">
        <v>1.39940057636885</v>
      </c>
      <c r="K1411" t="s">
        <v>817</v>
      </c>
      <c r="L1411" t="str">
        <f t="shared" si="66"/>
        <v>46</v>
      </c>
      <c r="M1411">
        <f t="shared" si="67"/>
        <v>0</v>
      </c>
      <c r="N1411">
        <f t="shared" si="68"/>
        <v>0</v>
      </c>
    </row>
    <row r="1412" spans="1:14">
      <c r="A1412">
        <v>4064</v>
      </c>
      <c r="B1412" t="s">
        <v>1274</v>
      </c>
      <c r="C1412" t="s">
        <v>756</v>
      </c>
      <c r="E1412">
        <v>907706</v>
      </c>
      <c r="G1412" s="2">
        <v>0.6020833333333333</v>
      </c>
      <c r="H1412" s="2">
        <v>0.60763888888888895</v>
      </c>
      <c r="J1412">
        <v>0.133276245368462</v>
      </c>
      <c r="K1412" t="s">
        <v>877</v>
      </c>
      <c r="L1412" t="str">
        <f t="shared" si="66"/>
        <v>46</v>
      </c>
      <c r="M1412">
        <f t="shared" si="67"/>
        <v>0</v>
      </c>
      <c r="N1412">
        <f t="shared" si="68"/>
        <v>0</v>
      </c>
    </row>
    <row r="1413" spans="1:14">
      <c r="A1413">
        <v>4064</v>
      </c>
      <c r="B1413" t="s">
        <v>1274</v>
      </c>
      <c r="C1413" t="s">
        <v>756</v>
      </c>
      <c r="E1413">
        <v>907706</v>
      </c>
      <c r="G1413" s="2">
        <v>0.60763888888888895</v>
      </c>
      <c r="H1413" s="2">
        <v>0.71666666666666667</v>
      </c>
      <c r="J1413">
        <v>2.6155463153560801</v>
      </c>
      <c r="K1413" t="s">
        <v>817</v>
      </c>
      <c r="L1413" t="str">
        <f t="shared" si="66"/>
        <v>46</v>
      </c>
      <c r="M1413">
        <f t="shared" si="67"/>
        <v>0</v>
      </c>
      <c r="N1413">
        <f t="shared" si="68"/>
        <v>0</v>
      </c>
    </row>
    <row r="1414" spans="1:14">
      <c r="A1414">
        <v>4064</v>
      </c>
      <c r="B1414" t="s">
        <v>1274</v>
      </c>
      <c r="C1414" t="s">
        <v>756</v>
      </c>
      <c r="E1414">
        <v>907706</v>
      </c>
      <c r="G1414" s="2">
        <v>0.71666666666666667</v>
      </c>
      <c r="H1414" s="2">
        <v>0.71875</v>
      </c>
      <c r="J1414">
        <v>4.9978592013173499E-2</v>
      </c>
      <c r="K1414" t="s">
        <v>877</v>
      </c>
      <c r="L1414" t="str">
        <f t="shared" si="66"/>
        <v>46</v>
      </c>
      <c r="M1414">
        <f t="shared" si="67"/>
        <v>0</v>
      </c>
      <c r="N1414">
        <f t="shared" si="68"/>
        <v>0</v>
      </c>
    </row>
    <row r="1415" spans="1:14">
      <c r="A1415">
        <v>4064</v>
      </c>
      <c r="B1415" t="s">
        <v>1274</v>
      </c>
      <c r="C1415" t="s">
        <v>756</v>
      </c>
      <c r="E1415">
        <v>907706</v>
      </c>
      <c r="G1415" s="2">
        <v>0.71875</v>
      </c>
      <c r="H1415" s="2">
        <v>0.72916666666666663</v>
      </c>
      <c r="J1415">
        <v>0.249892960065867</v>
      </c>
      <c r="K1415" t="s">
        <v>817</v>
      </c>
      <c r="L1415" t="str">
        <f t="shared" si="66"/>
        <v>46</v>
      </c>
      <c r="M1415">
        <f t="shared" si="67"/>
        <v>0</v>
      </c>
      <c r="N1415">
        <f t="shared" si="68"/>
        <v>0</v>
      </c>
    </row>
    <row r="1416" spans="1:14">
      <c r="A1416">
        <v>7324</v>
      </c>
      <c r="B1416" t="s">
        <v>1012</v>
      </c>
      <c r="C1416" t="s">
        <v>754</v>
      </c>
      <c r="D1416" t="s">
        <v>914</v>
      </c>
      <c r="E1416">
        <v>275525</v>
      </c>
      <c r="G1416" s="2">
        <v>0.37638888888888888</v>
      </c>
      <c r="H1416" s="2">
        <v>0.54305555555555551</v>
      </c>
      <c r="J1416">
        <v>3.75524915861592</v>
      </c>
      <c r="K1416" t="s">
        <v>759</v>
      </c>
      <c r="L1416" t="str">
        <f t="shared" si="66"/>
        <v>33</v>
      </c>
      <c r="M1416">
        <f t="shared" si="67"/>
        <v>0</v>
      </c>
      <c r="N1416">
        <f t="shared" si="68"/>
        <v>0</v>
      </c>
    </row>
    <row r="1417" spans="1:14">
      <c r="A1417">
        <v>7324</v>
      </c>
      <c r="B1417" t="s">
        <v>1012</v>
      </c>
      <c r="C1417" t="s">
        <v>754</v>
      </c>
      <c r="D1417" t="s">
        <v>914</v>
      </c>
      <c r="E1417">
        <v>275525</v>
      </c>
      <c r="G1417" s="2">
        <v>0.54305555555555551</v>
      </c>
      <c r="H1417" s="2">
        <v>0.55555555555555558</v>
      </c>
      <c r="J1417">
        <v>0.28164368689619401</v>
      </c>
      <c r="K1417" t="s">
        <v>798</v>
      </c>
      <c r="L1417" t="str">
        <f t="shared" si="66"/>
        <v>33</v>
      </c>
      <c r="M1417">
        <f t="shared" si="67"/>
        <v>0</v>
      </c>
      <c r="N1417">
        <f t="shared" si="68"/>
        <v>0</v>
      </c>
    </row>
    <row r="1418" spans="1:14">
      <c r="A1418">
        <v>7324</v>
      </c>
      <c r="B1418" t="s">
        <v>1012</v>
      </c>
      <c r="C1418" t="s">
        <v>754</v>
      </c>
      <c r="D1418" t="s">
        <v>914</v>
      </c>
      <c r="E1418">
        <v>275525</v>
      </c>
      <c r="G1418" s="2">
        <v>0.55555555555555558</v>
      </c>
      <c r="H1418" s="2">
        <v>0.57499999999999996</v>
      </c>
      <c r="J1418">
        <v>0.43811240183852401</v>
      </c>
      <c r="K1418" t="s">
        <v>834</v>
      </c>
      <c r="L1418" t="str">
        <f t="shared" si="66"/>
        <v>33</v>
      </c>
      <c r="M1418">
        <f t="shared" si="67"/>
        <v>0</v>
      </c>
      <c r="N1418">
        <f t="shared" si="68"/>
        <v>0</v>
      </c>
    </row>
    <row r="1419" spans="1:14">
      <c r="A1419">
        <v>7324</v>
      </c>
      <c r="B1419" t="s">
        <v>1012</v>
      </c>
      <c r="C1419" t="s">
        <v>754</v>
      </c>
      <c r="D1419" t="s">
        <v>914</v>
      </c>
      <c r="E1419">
        <v>275525</v>
      </c>
      <c r="G1419" s="2">
        <v>0.57499999999999996</v>
      </c>
      <c r="H1419" s="2">
        <v>0.64652777777777781</v>
      </c>
      <c r="J1419">
        <v>1.6116277639059999</v>
      </c>
      <c r="K1419" t="s">
        <v>798</v>
      </c>
      <c r="L1419" t="str">
        <f t="shared" si="66"/>
        <v>33</v>
      </c>
      <c r="M1419">
        <f t="shared" si="67"/>
        <v>0</v>
      </c>
      <c r="N1419">
        <f t="shared" si="68"/>
        <v>0</v>
      </c>
    </row>
    <row r="1420" spans="1:14">
      <c r="A1420">
        <v>7324</v>
      </c>
      <c r="B1420" t="s">
        <v>1012</v>
      </c>
      <c r="C1420" t="s">
        <v>754</v>
      </c>
      <c r="D1420" t="s">
        <v>914</v>
      </c>
      <c r="E1420">
        <v>275525</v>
      </c>
      <c r="G1420" s="2">
        <v>0.64652777777777781</v>
      </c>
      <c r="H1420" s="2">
        <v>0.65625</v>
      </c>
      <c r="J1420">
        <v>0.21905620091926101</v>
      </c>
      <c r="K1420" t="s">
        <v>834</v>
      </c>
      <c r="L1420" t="str">
        <f t="shared" si="66"/>
        <v>33</v>
      </c>
      <c r="M1420">
        <f t="shared" si="67"/>
        <v>0</v>
      </c>
      <c r="N1420">
        <f t="shared" si="68"/>
        <v>0</v>
      </c>
    </row>
    <row r="1421" spans="1:14">
      <c r="A1421">
        <v>7324</v>
      </c>
      <c r="B1421" t="s">
        <v>1012</v>
      </c>
      <c r="C1421" t="s">
        <v>754</v>
      </c>
      <c r="D1421" t="s">
        <v>914</v>
      </c>
      <c r="E1421">
        <v>275525</v>
      </c>
      <c r="G1421" s="2">
        <v>0.65625</v>
      </c>
      <c r="H1421" s="2">
        <v>0.66041666666666665</v>
      </c>
      <c r="J1421">
        <v>9.3881228965397995E-2</v>
      </c>
      <c r="K1421" t="s">
        <v>798</v>
      </c>
      <c r="L1421" t="str">
        <f t="shared" si="66"/>
        <v>33</v>
      </c>
      <c r="M1421">
        <f t="shared" si="67"/>
        <v>0</v>
      </c>
      <c r="N1421">
        <f t="shared" si="68"/>
        <v>0</v>
      </c>
    </row>
    <row r="1422" spans="1:14">
      <c r="A1422">
        <v>7324</v>
      </c>
      <c r="B1422" t="s">
        <v>1012</v>
      </c>
      <c r="C1422" t="s">
        <v>754</v>
      </c>
      <c r="D1422" t="s">
        <v>914</v>
      </c>
      <c r="E1422">
        <v>275525</v>
      </c>
      <c r="G1422" s="2">
        <v>0.66041666666666665</v>
      </c>
      <c r="H1422" s="2">
        <v>0.68472222222222223</v>
      </c>
      <c r="J1422">
        <v>0.54764050229815397</v>
      </c>
      <c r="K1422" t="s">
        <v>834</v>
      </c>
      <c r="L1422" t="str">
        <f t="shared" si="66"/>
        <v>33</v>
      </c>
      <c r="M1422">
        <f t="shared" si="67"/>
        <v>0</v>
      </c>
      <c r="N1422">
        <f t="shared" si="68"/>
        <v>0</v>
      </c>
    </row>
    <row r="1423" spans="1:14">
      <c r="A1423">
        <v>7324</v>
      </c>
      <c r="B1423" t="s">
        <v>1012</v>
      </c>
      <c r="C1423" t="s">
        <v>754</v>
      </c>
      <c r="D1423" t="s">
        <v>914</v>
      </c>
      <c r="E1423">
        <v>275525</v>
      </c>
      <c r="G1423" s="2">
        <v>0.68472222222222223</v>
      </c>
      <c r="H1423" s="2">
        <v>0.70833333333333337</v>
      </c>
      <c r="J1423">
        <v>0.53199363080392204</v>
      </c>
      <c r="K1423" t="s">
        <v>798</v>
      </c>
      <c r="L1423" t="str">
        <f t="shared" si="66"/>
        <v>33</v>
      </c>
      <c r="M1423">
        <f t="shared" si="67"/>
        <v>0</v>
      </c>
      <c r="N1423">
        <f t="shared" si="68"/>
        <v>0</v>
      </c>
    </row>
    <row r="1424" spans="1:14">
      <c r="A1424">
        <v>7436</v>
      </c>
      <c r="B1424" t="s">
        <v>1012</v>
      </c>
      <c r="C1424" t="s">
        <v>754</v>
      </c>
      <c r="D1424" t="s">
        <v>818</v>
      </c>
      <c r="E1424">
        <v>49586</v>
      </c>
      <c r="G1424" s="2">
        <v>0.19305555555555554</v>
      </c>
      <c r="H1424" s="2">
        <v>0.31874999999999998</v>
      </c>
      <c r="J1424">
        <v>2.8403387094845498</v>
      </c>
      <c r="K1424" t="s">
        <v>891</v>
      </c>
      <c r="L1424" t="str">
        <f t="shared" si="66"/>
        <v>65</v>
      </c>
      <c r="M1424">
        <f t="shared" si="67"/>
        <v>0</v>
      </c>
      <c r="N1424">
        <f t="shared" si="68"/>
        <v>0</v>
      </c>
    </row>
    <row r="1425" spans="1:14">
      <c r="A1425">
        <v>7436</v>
      </c>
      <c r="B1425" t="s">
        <v>1012</v>
      </c>
      <c r="C1425" t="s">
        <v>754</v>
      </c>
      <c r="D1425" t="s">
        <v>818</v>
      </c>
      <c r="E1425">
        <v>49586</v>
      </c>
      <c r="G1425" s="2">
        <v>0.31874999999999998</v>
      </c>
      <c r="H1425" s="2">
        <v>0.39652777777777781</v>
      </c>
      <c r="J1425">
        <v>1.7575576544876701</v>
      </c>
      <c r="K1425" t="s">
        <v>759</v>
      </c>
      <c r="L1425" t="str">
        <f t="shared" si="66"/>
        <v>33</v>
      </c>
      <c r="M1425">
        <f t="shared" si="67"/>
        <v>0</v>
      </c>
      <c r="N1425">
        <f t="shared" si="68"/>
        <v>0</v>
      </c>
    </row>
    <row r="1426" spans="1:14">
      <c r="A1426">
        <v>7436</v>
      </c>
      <c r="B1426" t="s">
        <v>1012</v>
      </c>
      <c r="C1426" t="s">
        <v>754</v>
      </c>
      <c r="D1426" t="s">
        <v>818</v>
      </c>
      <c r="E1426">
        <v>49586</v>
      </c>
      <c r="G1426" s="2">
        <v>0.39652777777777781</v>
      </c>
      <c r="H1426" s="2">
        <v>0.55277777777777781</v>
      </c>
      <c r="J1426">
        <v>3.53080778803327</v>
      </c>
      <c r="K1426" t="s">
        <v>891</v>
      </c>
      <c r="L1426" t="str">
        <f t="shared" si="66"/>
        <v>65</v>
      </c>
      <c r="M1426">
        <f t="shared" si="67"/>
        <v>0</v>
      </c>
      <c r="N1426">
        <f t="shared" si="68"/>
        <v>0</v>
      </c>
    </row>
    <row r="1427" spans="1:14">
      <c r="A1427">
        <v>7201</v>
      </c>
      <c r="B1427" t="s">
        <v>1013</v>
      </c>
      <c r="C1427" t="s">
        <v>754</v>
      </c>
      <c r="D1427" t="s">
        <v>830</v>
      </c>
      <c r="E1427">
        <v>21990</v>
      </c>
      <c r="G1427" s="2">
        <v>0.51458333333333328</v>
      </c>
      <c r="H1427" s="2">
        <v>0.89583333333333337</v>
      </c>
      <c r="J1427">
        <v>9.1449730471497599</v>
      </c>
      <c r="K1427" t="s">
        <v>821</v>
      </c>
      <c r="L1427" t="str">
        <f t="shared" si="66"/>
        <v>33</v>
      </c>
      <c r="M1427">
        <f t="shared" si="67"/>
        <v>0</v>
      </c>
      <c r="N1427">
        <f t="shared" si="68"/>
        <v>0</v>
      </c>
    </row>
    <row r="1428" spans="1:14">
      <c r="A1428">
        <v>7553</v>
      </c>
      <c r="B1428" t="s">
        <v>1014</v>
      </c>
      <c r="C1428" t="s">
        <v>754</v>
      </c>
      <c r="D1428" t="s">
        <v>841</v>
      </c>
      <c r="E1428">
        <v>112969</v>
      </c>
      <c r="G1428" s="2">
        <v>0.21319444444444444</v>
      </c>
      <c r="H1428" s="2">
        <v>0.23055555555555554</v>
      </c>
      <c r="J1428">
        <v>0.39535167797420101</v>
      </c>
      <c r="K1428" t="s">
        <v>773</v>
      </c>
      <c r="L1428" t="str">
        <f t="shared" si="66"/>
        <v>33</v>
      </c>
      <c r="M1428">
        <f t="shared" si="67"/>
        <v>0</v>
      </c>
      <c r="N1428">
        <f t="shared" si="68"/>
        <v>0</v>
      </c>
    </row>
    <row r="1429" spans="1:14">
      <c r="A1429">
        <v>7553</v>
      </c>
      <c r="B1429" t="s">
        <v>1014</v>
      </c>
      <c r="C1429" t="s">
        <v>754</v>
      </c>
      <c r="D1429" t="s">
        <v>841</v>
      </c>
      <c r="E1429">
        <v>112969</v>
      </c>
      <c r="G1429" s="2">
        <v>0.23055555555555554</v>
      </c>
      <c r="H1429" s="2">
        <v>0.23541666666666669</v>
      </c>
      <c r="J1429">
        <v>0.11069846983277599</v>
      </c>
      <c r="K1429" t="s">
        <v>763</v>
      </c>
      <c r="L1429" t="str">
        <f t="shared" si="66"/>
        <v>33</v>
      </c>
      <c r="M1429">
        <f t="shared" si="67"/>
        <v>0</v>
      </c>
      <c r="N1429">
        <f t="shared" si="68"/>
        <v>0</v>
      </c>
    </row>
    <row r="1430" spans="1:14">
      <c r="A1430">
        <v>7553</v>
      </c>
      <c r="B1430" t="s">
        <v>1014</v>
      </c>
      <c r="C1430" t="s">
        <v>754</v>
      </c>
      <c r="D1430" t="s">
        <v>841</v>
      </c>
      <c r="E1430">
        <v>112969</v>
      </c>
      <c r="G1430" s="2">
        <v>0.23541666666666669</v>
      </c>
      <c r="H1430" s="2">
        <v>0.2673611111111111</v>
      </c>
      <c r="J1430">
        <v>0.72744708747252895</v>
      </c>
      <c r="K1430" t="s">
        <v>773</v>
      </c>
      <c r="L1430" t="str">
        <f t="shared" si="66"/>
        <v>33</v>
      </c>
      <c r="M1430">
        <f t="shared" si="67"/>
        <v>0</v>
      </c>
      <c r="N1430">
        <f t="shared" si="68"/>
        <v>0</v>
      </c>
    </row>
    <row r="1431" spans="1:14">
      <c r="A1431">
        <v>7553</v>
      </c>
      <c r="B1431" t="s">
        <v>1014</v>
      </c>
      <c r="C1431" t="s">
        <v>754</v>
      </c>
      <c r="D1431" t="s">
        <v>841</v>
      </c>
      <c r="E1431">
        <v>112969</v>
      </c>
      <c r="G1431" s="2">
        <v>0.2673611111111111</v>
      </c>
      <c r="H1431" s="2">
        <v>0.27708333333333335</v>
      </c>
      <c r="J1431">
        <v>0.22139693966555199</v>
      </c>
      <c r="K1431" t="s">
        <v>763</v>
      </c>
      <c r="L1431" t="str">
        <f t="shared" si="66"/>
        <v>33</v>
      </c>
      <c r="M1431">
        <f t="shared" si="67"/>
        <v>0</v>
      </c>
      <c r="N1431">
        <f t="shared" si="68"/>
        <v>0</v>
      </c>
    </row>
    <row r="1432" spans="1:14">
      <c r="A1432">
        <v>7553</v>
      </c>
      <c r="B1432" t="s">
        <v>1014</v>
      </c>
      <c r="C1432" t="s">
        <v>754</v>
      </c>
      <c r="D1432" t="s">
        <v>841</v>
      </c>
      <c r="E1432">
        <v>112969</v>
      </c>
      <c r="G1432" s="2">
        <v>0.27708333333333335</v>
      </c>
      <c r="H1432" s="2">
        <v>0.29236111111111113</v>
      </c>
      <c r="J1432">
        <v>0.34790947661729699</v>
      </c>
      <c r="K1432" t="s">
        <v>773</v>
      </c>
      <c r="L1432" t="str">
        <f t="shared" si="66"/>
        <v>33</v>
      </c>
      <c r="M1432">
        <f t="shared" si="67"/>
        <v>0</v>
      </c>
      <c r="N1432">
        <f t="shared" si="68"/>
        <v>0</v>
      </c>
    </row>
    <row r="1433" spans="1:14">
      <c r="A1433">
        <v>7553</v>
      </c>
      <c r="B1433" t="s">
        <v>1014</v>
      </c>
      <c r="C1433" t="s">
        <v>754</v>
      </c>
      <c r="D1433" t="s">
        <v>841</v>
      </c>
      <c r="E1433">
        <v>112969</v>
      </c>
      <c r="G1433" s="2">
        <v>0.29236111111111113</v>
      </c>
      <c r="H1433" s="2">
        <v>0.625</v>
      </c>
      <c r="J1433">
        <v>7.57493814998569</v>
      </c>
      <c r="K1433" t="s">
        <v>907</v>
      </c>
      <c r="L1433" t="str">
        <f t="shared" si="66"/>
        <v>65</v>
      </c>
      <c r="M1433">
        <f t="shared" si="67"/>
        <v>0</v>
      </c>
      <c r="N1433">
        <f t="shared" si="68"/>
        <v>0</v>
      </c>
    </row>
    <row r="1434" spans="1:14">
      <c r="A1434">
        <v>7942</v>
      </c>
      <c r="B1434" t="s">
        <v>1157</v>
      </c>
      <c r="C1434" t="s">
        <v>755</v>
      </c>
      <c r="D1434" t="s">
        <v>788</v>
      </c>
      <c r="E1434">
        <v>837859</v>
      </c>
      <c r="G1434" s="2">
        <v>0.42430555555555555</v>
      </c>
      <c r="H1434" s="2">
        <v>0.4694444444444445</v>
      </c>
      <c r="J1434">
        <v>1.0157906261394101</v>
      </c>
      <c r="K1434" t="s">
        <v>767</v>
      </c>
      <c r="L1434" t="str">
        <f t="shared" si="66"/>
        <v>37</v>
      </c>
      <c r="M1434">
        <f t="shared" si="67"/>
        <v>0</v>
      </c>
      <c r="N1434">
        <f t="shared" si="68"/>
        <v>0</v>
      </c>
    </row>
    <row r="1435" spans="1:14">
      <c r="A1435">
        <v>7942</v>
      </c>
      <c r="B1435" t="s">
        <v>1157</v>
      </c>
      <c r="C1435" t="s">
        <v>755</v>
      </c>
      <c r="D1435" t="s">
        <v>788</v>
      </c>
      <c r="E1435">
        <v>837859</v>
      </c>
      <c r="G1435" s="2">
        <v>0.4694444444444445</v>
      </c>
      <c r="H1435" s="2">
        <v>0.62013888888888891</v>
      </c>
      <c r="J1435">
        <v>3.3911779364962098</v>
      </c>
      <c r="K1435" t="s">
        <v>790</v>
      </c>
      <c r="L1435" t="str">
        <f t="shared" si="66"/>
        <v>46</v>
      </c>
      <c r="M1435">
        <f t="shared" si="67"/>
        <v>0</v>
      </c>
      <c r="N1435">
        <f t="shared" si="68"/>
        <v>0</v>
      </c>
    </row>
    <row r="1436" spans="1:14">
      <c r="A1436">
        <v>7942</v>
      </c>
      <c r="B1436" t="s">
        <v>1157</v>
      </c>
      <c r="C1436" t="s">
        <v>755</v>
      </c>
      <c r="D1436" t="s">
        <v>788</v>
      </c>
      <c r="E1436">
        <v>837859</v>
      </c>
      <c r="G1436" s="2">
        <v>0.62013888888888891</v>
      </c>
      <c r="H1436" s="2">
        <v>0.75</v>
      </c>
      <c r="J1436">
        <v>2.9223514936626298</v>
      </c>
      <c r="K1436" t="s">
        <v>817</v>
      </c>
      <c r="L1436" t="str">
        <f t="shared" si="66"/>
        <v>46</v>
      </c>
      <c r="M1436">
        <f t="shared" si="67"/>
        <v>0</v>
      </c>
      <c r="N1436">
        <f t="shared" si="68"/>
        <v>0</v>
      </c>
    </row>
    <row r="1437" spans="1:14">
      <c r="A1437">
        <v>7613</v>
      </c>
      <c r="B1437" t="s">
        <v>1275</v>
      </c>
      <c r="C1437" t="s">
        <v>755</v>
      </c>
      <c r="D1437" t="s">
        <v>818</v>
      </c>
      <c r="E1437">
        <v>163022</v>
      </c>
      <c r="G1437" s="2">
        <v>0.21388888888888891</v>
      </c>
      <c r="H1437" s="2">
        <v>0.24583333333333335</v>
      </c>
      <c r="J1437">
        <v>0.71916727090016497</v>
      </c>
      <c r="K1437" t="s">
        <v>759</v>
      </c>
      <c r="L1437" t="str">
        <f t="shared" si="66"/>
        <v>33</v>
      </c>
      <c r="M1437">
        <f t="shared" si="67"/>
        <v>0</v>
      </c>
      <c r="N1437">
        <f t="shared" si="68"/>
        <v>0</v>
      </c>
    </row>
    <row r="1438" spans="1:14">
      <c r="A1438">
        <v>7613</v>
      </c>
      <c r="B1438" t="s">
        <v>1275</v>
      </c>
      <c r="C1438" t="s">
        <v>755</v>
      </c>
      <c r="D1438" t="s">
        <v>818</v>
      </c>
      <c r="E1438">
        <v>163022</v>
      </c>
      <c r="G1438" s="2">
        <v>0.24583333333333335</v>
      </c>
      <c r="H1438" s="2">
        <v>0.29652777777777778</v>
      </c>
      <c r="J1438">
        <v>1.14128719077635</v>
      </c>
      <c r="K1438" t="s">
        <v>763</v>
      </c>
      <c r="L1438" t="str">
        <f t="shared" si="66"/>
        <v>33</v>
      </c>
      <c r="M1438">
        <f t="shared" si="67"/>
        <v>0</v>
      </c>
      <c r="N1438">
        <f t="shared" si="68"/>
        <v>0</v>
      </c>
    </row>
    <row r="1439" spans="1:14">
      <c r="A1439">
        <v>7613</v>
      </c>
      <c r="B1439" t="s">
        <v>1275</v>
      </c>
      <c r="C1439" t="s">
        <v>755</v>
      </c>
      <c r="D1439" t="s">
        <v>818</v>
      </c>
      <c r="E1439">
        <v>163022</v>
      </c>
      <c r="G1439" s="2">
        <v>0.29652777777777778</v>
      </c>
      <c r="H1439" s="2">
        <v>0.35069444444444442</v>
      </c>
      <c r="J1439">
        <v>1.2194575463089701</v>
      </c>
      <c r="K1439" t="s">
        <v>759</v>
      </c>
      <c r="L1439" t="str">
        <f t="shared" si="66"/>
        <v>33</v>
      </c>
      <c r="M1439">
        <f t="shared" si="67"/>
        <v>0</v>
      </c>
      <c r="N1439">
        <f t="shared" si="68"/>
        <v>0</v>
      </c>
    </row>
    <row r="1440" spans="1:14">
      <c r="A1440">
        <v>7613</v>
      </c>
      <c r="B1440" t="s">
        <v>1275</v>
      </c>
      <c r="C1440" t="s">
        <v>755</v>
      </c>
      <c r="D1440" t="s">
        <v>818</v>
      </c>
      <c r="E1440">
        <v>163022</v>
      </c>
      <c r="G1440" s="2">
        <v>0.35069444444444442</v>
      </c>
      <c r="H1440" s="2">
        <v>0.54166666666666663</v>
      </c>
      <c r="J1440">
        <v>4.2993695542944597</v>
      </c>
      <c r="K1440" t="s">
        <v>760</v>
      </c>
      <c r="L1440" t="str">
        <f t="shared" si="66"/>
        <v>33</v>
      </c>
      <c r="M1440">
        <f t="shared" si="67"/>
        <v>0</v>
      </c>
      <c r="N1440">
        <f t="shared" si="68"/>
        <v>0</v>
      </c>
    </row>
    <row r="1441" spans="1:14">
      <c r="A1441">
        <v>7458</v>
      </c>
      <c r="B1441" t="s">
        <v>1276</v>
      </c>
      <c r="C1441" t="s">
        <v>754</v>
      </c>
      <c r="D1441" t="s">
        <v>1015</v>
      </c>
      <c r="E1441">
        <v>55217</v>
      </c>
      <c r="G1441" s="2">
        <v>0.13055555555555556</v>
      </c>
      <c r="H1441" s="2">
        <v>0.23611111111111113</v>
      </c>
      <c r="J1441">
        <v>2.4077985706677301</v>
      </c>
      <c r="K1441" t="s">
        <v>1016</v>
      </c>
      <c r="L1441" t="str">
        <f t="shared" si="66"/>
        <v>37</v>
      </c>
      <c r="M1441">
        <f t="shared" si="67"/>
        <v>0</v>
      </c>
      <c r="N1441">
        <f t="shared" si="68"/>
        <v>0</v>
      </c>
    </row>
    <row r="1442" spans="1:14">
      <c r="A1442">
        <v>7458</v>
      </c>
      <c r="B1442" t="s">
        <v>1276</v>
      </c>
      <c r="C1442" t="s">
        <v>754</v>
      </c>
      <c r="D1442" t="s">
        <v>1015</v>
      </c>
      <c r="E1442">
        <v>55217</v>
      </c>
      <c r="G1442" s="2">
        <v>0.23611111111111113</v>
      </c>
      <c r="H1442" s="2">
        <v>0.28125</v>
      </c>
      <c r="J1442">
        <v>1.0296507045618599</v>
      </c>
      <c r="K1442" t="s">
        <v>778</v>
      </c>
      <c r="L1442" t="str">
        <f t="shared" si="66"/>
        <v>37</v>
      </c>
      <c r="M1442">
        <f t="shared" si="67"/>
        <v>0</v>
      </c>
      <c r="N1442">
        <f t="shared" si="68"/>
        <v>0</v>
      </c>
    </row>
    <row r="1443" spans="1:14">
      <c r="A1443">
        <v>7458</v>
      </c>
      <c r="B1443" t="s">
        <v>1276</v>
      </c>
      <c r="C1443" t="s">
        <v>754</v>
      </c>
      <c r="D1443" t="s">
        <v>1015</v>
      </c>
      <c r="E1443">
        <v>55217</v>
      </c>
      <c r="G1443" s="2">
        <v>0.28125</v>
      </c>
      <c r="H1443" s="2">
        <v>0.28333333333333333</v>
      </c>
      <c r="J1443">
        <v>4.7522340210547499E-2</v>
      </c>
      <c r="K1443" t="s">
        <v>1016</v>
      </c>
      <c r="L1443" t="str">
        <f t="shared" si="66"/>
        <v>37</v>
      </c>
      <c r="M1443">
        <f t="shared" si="67"/>
        <v>0</v>
      </c>
      <c r="N1443">
        <f t="shared" si="68"/>
        <v>0</v>
      </c>
    </row>
    <row r="1444" spans="1:14">
      <c r="A1444">
        <v>7458</v>
      </c>
      <c r="B1444" t="s">
        <v>1276</v>
      </c>
      <c r="C1444" t="s">
        <v>754</v>
      </c>
      <c r="D1444" t="s">
        <v>1015</v>
      </c>
      <c r="E1444">
        <v>55217</v>
      </c>
      <c r="G1444" s="2">
        <v>0.28333333333333333</v>
      </c>
      <c r="H1444" s="2">
        <v>0.2902777777777778</v>
      </c>
      <c r="J1444">
        <v>0.158407800701825</v>
      </c>
      <c r="K1444" t="s">
        <v>871</v>
      </c>
      <c r="L1444" t="str">
        <f t="shared" si="66"/>
        <v>37</v>
      </c>
      <c r="M1444">
        <f t="shared" si="67"/>
        <v>0</v>
      </c>
      <c r="N1444">
        <f t="shared" si="68"/>
        <v>0</v>
      </c>
    </row>
    <row r="1445" spans="1:14">
      <c r="A1445">
        <v>7458</v>
      </c>
      <c r="B1445" t="s">
        <v>1276</v>
      </c>
      <c r="C1445" t="s">
        <v>754</v>
      </c>
      <c r="D1445" t="s">
        <v>1015</v>
      </c>
      <c r="E1445">
        <v>55217</v>
      </c>
      <c r="G1445" s="2">
        <v>0.2902777777777778</v>
      </c>
      <c r="H1445" s="2">
        <v>0.40833333333333338</v>
      </c>
      <c r="J1445">
        <v>2.69293261193102</v>
      </c>
      <c r="K1445" t="s">
        <v>925</v>
      </c>
      <c r="L1445" t="str">
        <f t="shared" si="66"/>
        <v>46</v>
      </c>
      <c r="M1445">
        <f t="shared" si="67"/>
        <v>0</v>
      </c>
      <c r="N1445">
        <f t="shared" si="68"/>
        <v>0</v>
      </c>
    </row>
    <row r="1446" spans="1:14">
      <c r="A1446">
        <v>7458</v>
      </c>
      <c r="B1446" t="s">
        <v>1276</v>
      </c>
      <c r="C1446" t="s">
        <v>754</v>
      </c>
      <c r="D1446" t="s">
        <v>1015</v>
      </c>
      <c r="E1446">
        <v>55217</v>
      </c>
      <c r="G1446" s="2">
        <v>0.40833333333333338</v>
      </c>
      <c r="H1446" s="2">
        <v>0.44791666666666669</v>
      </c>
      <c r="J1446">
        <v>0.90292446400040305</v>
      </c>
      <c r="K1446" t="s">
        <v>768</v>
      </c>
      <c r="L1446" t="str">
        <f t="shared" si="66"/>
        <v>46</v>
      </c>
      <c r="M1446">
        <f t="shared" si="67"/>
        <v>0</v>
      </c>
      <c r="N1446">
        <f t="shared" si="68"/>
        <v>0</v>
      </c>
    </row>
    <row r="1447" spans="1:14">
      <c r="A1447">
        <v>7458</v>
      </c>
      <c r="B1447" t="s">
        <v>1276</v>
      </c>
      <c r="C1447" t="s">
        <v>754</v>
      </c>
      <c r="D1447" t="s">
        <v>1015</v>
      </c>
      <c r="E1447">
        <v>55217</v>
      </c>
      <c r="G1447" s="2">
        <v>0.44791666666666669</v>
      </c>
      <c r="H1447" s="2">
        <v>0.54166666666666663</v>
      </c>
      <c r="J1447">
        <v>2.1385053094746298</v>
      </c>
      <c r="K1447" t="s">
        <v>767</v>
      </c>
      <c r="L1447" t="str">
        <f t="shared" si="66"/>
        <v>37</v>
      </c>
      <c r="M1447">
        <f t="shared" si="67"/>
        <v>0</v>
      </c>
      <c r="N1447">
        <f t="shared" si="68"/>
        <v>0</v>
      </c>
    </row>
    <row r="1448" spans="1:14">
      <c r="A1448">
        <v>7452</v>
      </c>
      <c r="B1448" t="s">
        <v>1017</v>
      </c>
      <c r="C1448" t="s">
        <v>755</v>
      </c>
      <c r="D1448" t="s">
        <v>1018</v>
      </c>
      <c r="E1448">
        <v>55235</v>
      </c>
      <c r="G1448" s="2">
        <v>0.5854166666666667</v>
      </c>
      <c r="H1448" s="2">
        <v>0.63749999999999996</v>
      </c>
      <c r="J1448">
        <v>1.2494297719087399</v>
      </c>
      <c r="K1448" t="s">
        <v>759</v>
      </c>
      <c r="L1448" t="str">
        <f t="shared" si="66"/>
        <v>33</v>
      </c>
      <c r="M1448">
        <f t="shared" si="67"/>
        <v>0</v>
      </c>
      <c r="N1448">
        <f t="shared" si="68"/>
        <v>0</v>
      </c>
    </row>
    <row r="1449" spans="1:14">
      <c r="A1449">
        <v>7452</v>
      </c>
      <c r="B1449" t="s">
        <v>1017</v>
      </c>
      <c r="C1449" t="s">
        <v>755</v>
      </c>
      <c r="D1449" t="s">
        <v>1018</v>
      </c>
      <c r="E1449">
        <v>55235</v>
      </c>
      <c r="G1449" s="2">
        <v>0.63749999999999996</v>
      </c>
      <c r="H1449" s="2">
        <v>0.81111111111111101</v>
      </c>
      <c r="J1449">
        <v>4.1647659063624802</v>
      </c>
      <c r="K1449" t="s">
        <v>778</v>
      </c>
      <c r="L1449" t="str">
        <f t="shared" si="66"/>
        <v>37</v>
      </c>
      <c r="M1449">
        <f t="shared" si="67"/>
        <v>0</v>
      </c>
      <c r="N1449">
        <f t="shared" si="68"/>
        <v>0</v>
      </c>
    </row>
    <row r="1450" spans="1:14">
      <c r="A1450">
        <v>7452</v>
      </c>
      <c r="B1450" t="s">
        <v>1017</v>
      </c>
      <c r="C1450" t="s">
        <v>755</v>
      </c>
      <c r="D1450" t="s">
        <v>1018</v>
      </c>
      <c r="E1450">
        <v>55235</v>
      </c>
      <c r="G1450" s="2">
        <v>0.81111111111111101</v>
      </c>
      <c r="H1450" s="2">
        <v>0.83333333333333337</v>
      </c>
      <c r="J1450">
        <v>0.53309003601439697</v>
      </c>
      <c r="K1450" t="s">
        <v>759</v>
      </c>
      <c r="L1450" t="str">
        <f t="shared" si="66"/>
        <v>33</v>
      </c>
      <c r="M1450">
        <f t="shared" si="67"/>
        <v>0</v>
      </c>
      <c r="N1450">
        <f t="shared" si="68"/>
        <v>0</v>
      </c>
    </row>
    <row r="1451" spans="1:14">
      <c r="A1451">
        <v>7400</v>
      </c>
      <c r="B1451" t="s">
        <v>1158</v>
      </c>
      <c r="C1451" t="s">
        <v>754</v>
      </c>
      <c r="D1451" t="s">
        <v>866</v>
      </c>
      <c r="E1451">
        <v>47436</v>
      </c>
      <c r="G1451" s="2">
        <v>0.49652777777777773</v>
      </c>
      <c r="H1451" s="2">
        <v>0.5</v>
      </c>
      <c r="J1451">
        <v>8.2608695652173894E-2</v>
      </c>
      <c r="K1451" t="s">
        <v>1159</v>
      </c>
      <c r="L1451" t="str">
        <f t="shared" si="66"/>
        <v>46</v>
      </c>
      <c r="M1451">
        <f t="shared" si="67"/>
        <v>0</v>
      </c>
      <c r="N1451">
        <f t="shared" si="68"/>
        <v>0</v>
      </c>
    </row>
    <row r="1452" spans="1:14">
      <c r="A1452">
        <v>7400</v>
      </c>
      <c r="B1452" t="s">
        <v>1158</v>
      </c>
      <c r="C1452" t="s">
        <v>754</v>
      </c>
      <c r="D1452" t="s">
        <v>866</v>
      </c>
      <c r="E1452">
        <v>47436</v>
      </c>
      <c r="G1452" s="2">
        <v>0.5</v>
      </c>
      <c r="H1452" s="2">
        <v>0.79027777777777775</v>
      </c>
      <c r="J1452">
        <v>6.9060869565217402</v>
      </c>
      <c r="K1452" t="s">
        <v>780</v>
      </c>
      <c r="L1452" t="str">
        <f t="shared" si="66"/>
        <v>46</v>
      </c>
      <c r="M1452">
        <f t="shared" si="67"/>
        <v>0</v>
      </c>
      <c r="N1452">
        <f t="shared" si="68"/>
        <v>0</v>
      </c>
    </row>
    <row r="1453" spans="1:14">
      <c r="A1453">
        <v>7400</v>
      </c>
      <c r="B1453" t="s">
        <v>1158</v>
      </c>
      <c r="C1453" t="s">
        <v>754</v>
      </c>
      <c r="D1453" t="s">
        <v>866</v>
      </c>
      <c r="E1453">
        <v>47436</v>
      </c>
      <c r="G1453" s="2">
        <v>0.79027777777777775</v>
      </c>
      <c r="H1453" s="2">
        <v>0.89583333333333337</v>
      </c>
      <c r="J1453">
        <v>2.5113043478260799</v>
      </c>
      <c r="K1453" t="s">
        <v>1159</v>
      </c>
      <c r="L1453" t="str">
        <f t="shared" si="66"/>
        <v>46</v>
      </c>
      <c r="M1453">
        <f t="shared" si="67"/>
        <v>0</v>
      </c>
      <c r="N1453">
        <f t="shared" si="68"/>
        <v>0</v>
      </c>
    </row>
    <row r="1454" spans="1:14">
      <c r="A1454">
        <v>7537</v>
      </c>
      <c r="B1454" t="s">
        <v>1019</v>
      </c>
      <c r="C1454" t="s">
        <v>754</v>
      </c>
      <c r="D1454" t="s">
        <v>757</v>
      </c>
      <c r="E1454">
        <v>333657</v>
      </c>
      <c r="G1454" s="2">
        <v>0.21041666666666667</v>
      </c>
      <c r="H1454" s="2">
        <v>0.21875</v>
      </c>
      <c r="J1454">
        <v>0.18731816109657601</v>
      </c>
      <c r="K1454" t="s">
        <v>798</v>
      </c>
      <c r="L1454" t="str">
        <f t="shared" si="66"/>
        <v>33</v>
      </c>
      <c r="M1454">
        <f t="shared" si="67"/>
        <v>0</v>
      </c>
      <c r="N1454">
        <f t="shared" si="68"/>
        <v>0</v>
      </c>
    </row>
    <row r="1455" spans="1:14">
      <c r="A1455">
        <v>7537</v>
      </c>
      <c r="B1455" t="s">
        <v>1019</v>
      </c>
      <c r="C1455" t="s">
        <v>754</v>
      </c>
      <c r="D1455" t="s">
        <v>757</v>
      </c>
      <c r="E1455">
        <v>333657</v>
      </c>
      <c r="G1455" s="2">
        <v>0.21875</v>
      </c>
      <c r="H1455" s="2">
        <v>0.22430555555555556</v>
      </c>
      <c r="J1455">
        <v>0.124878774064383</v>
      </c>
      <c r="K1455" t="s">
        <v>814</v>
      </c>
      <c r="L1455" t="str">
        <f t="shared" si="66"/>
        <v>33</v>
      </c>
      <c r="M1455">
        <f t="shared" si="67"/>
        <v>0</v>
      </c>
      <c r="N1455">
        <f t="shared" si="68"/>
        <v>0</v>
      </c>
    </row>
    <row r="1456" spans="1:14">
      <c r="A1456">
        <v>7537</v>
      </c>
      <c r="B1456" t="s">
        <v>1019</v>
      </c>
      <c r="C1456" t="s">
        <v>754</v>
      </c>
      <c r="D1456" t="s">
        <v>757</v>
      </c>
      <c r="E1456">
        <v>333657</v>
      </c>
      <c r="G1456" s="2">
        <v>0.22430555555555556</v>
      </c>
      <c r="H1456" s="2">
        <v>0.22638888888888889</v>
      </c>
      <c r="J1456">
        <v>4.6829540274144002E-2</v>
      </c>
      <c r="K1456" t="s">
        <v>798</v>
      </c>
      <c r="L1456" t="str">
        <f t="shared" si="66"/>
        <v>33</v>
      </c>
      <c r="M1456">
        <f t="shared" si="67"/>
        <v>0</v>
      </c>
      <c r="N1456">
        <f t="shared" si="68"/>
        <v>0</v>
      </c>
    </row>
    <row r="1457" spans="1:14">
      <c r="A1457">
        <v>7537</v>
      </c>
      <c r="B1457" t="s">
        <v>1019</v>
      </c>
      <c r="C1457" t="s">
        <v>754</v>
      </c>
      <c r="D1457" t="s">
        <v>757</v>
      </c>
      <c r="E1457">
        <v>333657</v>
      </c>
      <c r="G1457" s="2">
        <v>0.22638888888888889</v>
      </c>
      <c r="H1457" s="2">
        <v>0.23055555555555554</v>
      </c>
      <c r="J1457">
        <v>9.3659080548288101E-2</v>
      </c>
      <c r="K1457" t="s">
        <v>814</v>
      </c>
      <c r="L1457" t="str">
        <f t="shared" si="66"/>
        <v>33</v>
      </c>
      <c r="M1457">
        <f t="shared" si="67"/>
        <v>0</v>
      </c>
      <c r="N1457">
        <f t="shared" si="68"/>
        <v>0</v>
      </c>
    </row>
    <row r="1458" spans="1:14">
      <c r="A1458">
        <v>7537</v>
      </c>
      <c r="B1458" t="s">
        <v>1019</v>
      </c>
      <c r="C1458" t="s">
        <v>754</v>
      </c>
      <c r="D1458" t="s">
        <v>757</v>
      </c>
      <c r="E1458">
        <v>333657</v>
      </c>
      <c r="G1458" s="2">
        <v>0.23055555555555554</v>
      </c>
      <c r="H1458" s="2">
        <v>0.23263888888888887</v>
      </c>
      <c r="J1458">
        <v>4.6829540274144002E-2</v>
      </c>
      <c r="K1458" t="s">
        <v>798</v>
      </c>
      <c r="L1458" t="str">
        <f t="shared" si="66"/>
        <v>33</v>
      </c>
      <c r="M1458">
        <f t="shared" si="67"/>
        <v>0</v>
      </c>
      <c r="N1458">
        <f t="shared" si="68"/>
        <v>0</v>
      </c>
    </row>
    <row r="1459" spans="1:14">
      <c r="A1459">
        <v>7537</v>
      </c>
      <c r="B1459" t="s">
        <v>1019</v>
      </c>
      <c r="C1459" t="s">
        <v>754</v>
      </c>
      <c r="D1459" t="s">
        <v>757</v>
      </c>
      <c r="E1459">
        <v>333657</v>
      </c>
      <c r="G1459" s="2">
        <v>0.23263888888888887</v>
      </c>
      <c r="H1459" s="2">
        <v>0.23680555555555557</v>
      </c>
      <c r="J1459">
        <v>9.3659080548288101E-2</v>
      </c>
      <c r="K1459" t="s">
        <v>814</v>
      </c>
      <c r="L1459" t="str">
        <f t="shared" si="66"/>
        <v>33</v>
      </c>
      <c r="M1459">
        <f t="shared" si="67"/>
        <v>0</v>
      </c>
      <c r="N1459">
        <f t="shared" si="68"/>
        <v>0</v>
      </c>
    </row>
    <row r="1460" spans="1:14">
      <c r="A1460">
        <v>7537</v>
      </c>
      <c r="B1460" t="s">
        <v>1019</v>
      </c>
      <c r="C1460" t="s">
        <v>754</v>
      </c>
      <c r="D1460" t="s">
        <v>757</v>
      </c>
      <c r="E1460">
        <v>333657</v>
      </c>
      <c r="G1460" s="2">
        <v>0.23680555555555557</v>
      </c>
      <c r="H1460" s="2">
        <v>0.24444444444444446</v>
      </c>
      <c r="J1460">
        <v>0.17170831433852801</v>
      </c>
      <c r="K1460" t="s">
        <v>799</v>
      </c>
      <c r="L1460" t="str">
        <f t="shared" si="66"/>
        <v>33</v>
      </c>
      <c r="M1460">
        <f t="shared" si="67"/>
        <v>0</v>
      </c>
      <c r="N1460">
        <f t="shared" si="68"/>
        <v>0</v>
      </c>
    </row>
    <row r="1461" spans="1:14">
      <c r="A1461">
        <v>7537</v>
      </c>
      <c r="B1461" t="s">
        <v>1019</v>
      </c>
      <c r="C1461" t="s">
        <v>754</v>
      </c>
      <c r="D1461" t="s">
        <v>757</v>
      </c>
      <c r="E1461">
        <v>333657</v>
      </c>
      <c r="G1461" s="2">
        <v>0.24444444444444446</v>
      </c>
      <c r="H1461" s="2">
        <v>0.24861111111111112</v>
      </c>
      <c r="J1461">
        <v>9.3659080548288101E-2</v>
      </c>
      <c r="K1461" t="s">
        <v>814</v>
      </c>
      <c r="L1461" t="str">
        <f t="shared" si="66"/>
        <v>33</v>
      </c>
      <c r="M1461">
        <f t="shared" si="67"/>
        <v>0</v>
      </c>
      <c r="N1461">
        <f t="shared" si="68"/>
        <v>0</v>
      </c>
    </row>
    <row r="1462" spans="1:14">
      <c r="A1462">
        <v>7537</v>
      </c>
      <c r="B1462" t="s">
        <v>1019</v>
      </c>
      <c r="C1462" t="s">
        <v>754</v>
      </c>
      <c r="D1462" t="s">
        <v>757</v>
      </c>
      <c r="E1462">
        <v>333657</v>
      </c>
      <c r="G1462" s="2">
        <v>0.24861111111111112</v>
      </c>
      <c r="H1462" s="2">
        <v>0.25138888888888888</v>
      </c>
      <c r="J1462">
        <v>6.2439387032192102E-2</v>
      </c>
      <c r="K1462" t="s">
        <v>798</v>
      </c>
      <c r="L1462" t="str">
        <f t="shared" si="66"/>
        <v>33</v>
      </c>
      <c r="M1462">
        <f t="shared" si="67"/>
        <v>0</v>
      </c>
      <c r="N1462">
        <f t="shared" si="68"/>
        <v>0</v>
      </c>
    </row>
    <row r="1463" spans="1:14">
      <c r="A1463">
        <v>7537</v>
      </c>
      <c r="B1463" t="s">
        <v>1019</v>
      </c>
      <c r="C1463" t="s">
        <v>754</v>
      </c>
      <c r="D1463" t="s">
        <v>757</v>
      </c>
      <c r="E1463">
        <v>333657</v>
      </c>
      <c r="G1463" s="2">
        <v>0.25138888888888888</v>
      </c>
      <c r="H1463" s="2">
        <v>0.25486111111111109</v>
      </c>
      <c r="J1463">
        <v>7.8049233790240105E-2</v>
      </c>
      <c r="K1463" t="s">
        <v>813</v>
      </c>
      <c r="L1463" t="str">
        <f t="shared" si="66"/>
        <v>33</v>
      </c>
      <c r="M1463">
        <f t="shared" si="67"/>
        <v>0</v>
      </c>
      <c r="N1463">
        <f t="shared" si="68"/>
        <v>0</v>
      </c>
    </row>
    <row r="1464" spans="1:14">
      <c r="A1464">
        <v>7537</v>
      </c>
      <c r="B1464" t="s">
        <v>1019</v>
      </c>
      <c r="C1464" t="s">
        <v>754</v>
      </c>
      <c r="D1464" t="s">
        <v>757</v>
      </c>
      <c r="E1464">
        <v>333657</v>
      </c>
      <c r="G1464" s="2">
        <v>0.25486111111111109</v>
      </c>
      <c r="H1464" s="2">
        <v>0.25694444444444448</v>
      </c>
      <c r="J1464">
        <v>4.6829540274144002E-2</v>
      </c>
      <c r="K1464" t="s">
        <v>798</v>
      </c>
      <c r="L1464" t="str">
        <f t="shared" si="66"/>
        <v>33</v>
      </c>
      <c r="M1464">
        <f t="shared" si="67"/>
        <v>0</v>
      </c>
      <c r="N1464">
        <f t="shared" si="68"/>
        <v>0</v>
      </c>
    </row>
    <row r="1465" spans="1:14">
      <c r="A1465">
        <v>7537</v>
      </c>
      <c r="B1465" t="s">
        <v>1019</v>
      </c>
      <c r="C1465" t="s">
        <v>754</v>
      </c>
      <c r="D1465" t="s">
        <v>757</v>
      </c>
      <c r="E1465">
        <v>333657</v>
      </c>
      <c r="G1465" s="2">
        <v>0.25694444444444448</v>
      </c>
      <c r="H1465" s="2">
        <v>0.2590277777777778</v>
      </c>
      <c r="J1465">
        <v>4.6829540274144002E-2</v>
      </c>
      <c r="K1465" t="s">
        <v>813</v>
      </c>
      <c r="L1465" t="str">
        <f t="shared" si="66"/>
        <v>33</v>
      </c>
      <c r="M1465">
        <f t="shared" si="67"/>
        <v>0</v>
      </c>
      <c r="N1465">
        <f t="shared" si="68"/>
        <v>0</v>
      </c>
    </row>
    <row r="1466" spans="1:14">
      <c r="A1466">
        <v>7537</v>
      </c>
      <c r="B1466" t="s">
        <v>1019</v>
      </c>
      <c r="C1466" t="s">
        <v>754</v>
      </c>
      <c r="D1466" t="s">
        <v>757</v>
      </c>
      <c r="E1466">
        <v>333657</v>
      </c>
      <c r="G1466" s="2">
        <v>0.2590277777777778</v>
      </c>
      <c r="H1466" s="2">
        <v>0.26041666666666669</v>
      </c>
      <c r="J1466">
        <v>3.1219693516095999E-2</v>
      </c>
      <c r="K1466" t="s">
        <v>798</v>
      </c>
      <c r="L1466" t="str">
        <f t="shared" si="66"/>
        <v>33</v>
      </c>
      <c r="M1466">
        <f t="shared" si="67"/>
        <v>0</v>
      </c>
      <c r="N1466">
        <f t="shared" si="68"/>
        <v>0</v>
      </c>
    </row>
    <row r="1467" spans="1:14">
      <c r="A1467">
        <v>7537</v>
      </c>
      <c r="B1467" t="s">
        <v>1019</v>
      </c>
      <c r="C1467" t="s">
        <v>754</v>
      </c>
      <c r="D1467" t="s">
        <v>757</v>
      </c>
      <c r="E1467">
        <v>333657</v>
      </c>
      <c r="G1467" s="2">
        <v>0.26041666666666669</v>
      </c>
      <c r="H1467" s="2">
        <v>0.27569444444444446</v>
      </c>
      <c r="J1467">
        <v>0.34341662867705602</v>
      </c>
      <c r="K1467" t="s">
        <v>814</v>
      </c>
      <c r="L1467" t="str">
        <f t="shared" si="66"/>
        <v>33</v>
      </c>
      <c r="M1467">
        <f t="shared" si="67"/>
        <v>0</v>
      </c>
      <c r="N1467">
        <f t="shared" si="68"/>
        <v>0</v>
      </c>
    </row>
    <row r="1468" spans="1:14">
      <c r="A1468">
        <v>7537</v>
      </c>
      <c r="B1468" t="s">
        <v>1019</v>
      </c>
      <c r="C1468" t="s">
        <v>754</v>
      </c>
      <c r="D1468" t="s">
        <v>757</v>
      </c>
      <c r="E1468">
        <v>333657</v>
      </c>
      <c r="G1468" s="2">
        <v>0.27569444444444446</v>
      </c>
      <c r="H1468" s="2">
        <v>0.29166666666666669</v>
      </c>
      <c r="J1468">
        <v>0.35902647543510402</v>
      </c>
      <c r="K1468" t="s">
        <v>798</v>
      </c>
      <c r="L1468" t="str">
        <f t="shared" si="66"/>
        <v>33</v>
      </c>
      <c r="M1468">
        <f t="shared" si="67"/>
        <v>0</v>
      </c>
      <c r="N1468">
        <f t="shared" si="68"/>
        <v>0</v>
      </c>
    </row>
    <row r="1469" spans="1:14">
      <c r="A1469">
        <v>7537</v>
      </c>
      <c r="B1469" t="s">
        <v>1019</v>
      </c>
      <c r="C1469" t="s">
        <v>754</v>
      </c>
      <c r="D1469" t="s">
        <v>757</v>
      </c>
      <c r="E1469">
        <v>333657</v>
      </c>
      <c r="G1469" s="2">
        <v>0.29166666666666669</v>
      </c>
      <c r="H1469" s="2">
        <v>0.32500000000000001</v>
      </c>
      <c r="J1469">
        <v>0.74927264438630503</v>
      </c>
      <c r="K1469" t="s">
        <v>814</v>
      </c>
      <c r="L1469" t="str">
        <f t="shared" si="66"/>
        <v>33</v>
      </c>
      <c r="M1469">
        <f t="shared" si="67"/>
        <v>0</v>
      </c>
      <c r="N1469">
        <f t="shared" si="68"/>
        <v>0</v>
      </c>
    </row>
    <row r="1470" spans="1:14">
      <c r="A1470">
        <v>7537</v>
      </c>
      <c r="B1470" t="s">
        <v>1019</v>
      </c>
      <c r="C1470" t="s">
        <v>754</v>
      </c>
      <c r="D1470" t="s">
        <v>757</v>
      </c>
      <c r="E1470">
        <v>333657</v>
      </c>
      <c r="G1470" s="2">
        <v>0.32500000000000001</v>
      </c>
      <c r="H1470" s="2">
        <v>0.3263888888888889</v>
      </c>
      <c r="J1470">
        <v>3.1219693516095999E-2</v>
      </c>
      <c r="K1470" t="s">
        <v>798</v>
      </c>
      <c r="L1470" t="str">
        <f t="shared" si="66"/>
        <v>33</v>
      </c>
      <c r="M1470">
        <f t="shared" si="67"/>
        <v>0</v>
      </c>
      <c r="N1470">
        <f t="shared" si="68"/>
        <v>0</v>
      </c>
    </row>
    <row r="1471" spans="1:14">
      <c r="A1471">
        <v>7537</v>
      </c>
      <c r="B1471" t="s">
        <v>1019</v>
      </c>
      <c r="C1471" t="s">
        <v>754</v>
      </c>
      <c r="D1471" t="s">
        <v>757</v>
      </c>
      <c r="E1471">
        <v>333657</v>
      </c>
      <c r="G1471" s="2">
        <v>0.3263888888888889</v>
      </c>
      <c r="H1471" s="2">
        <v>0.3430555555555555</v>
      </c>
      <c r="J1471">
        <v>0.37463632219315202</v>
      </c>
      <c r="K1471" t="s">
        <v>814</v>
      </c>
      <c r="L1471" t="str">
        <f t="shared" si="66"/>
        <v>33</v>
      </c>
      <c r="M1471">
        <f t="shared" si="67"/>
        <v>0</v>
      </c>
      <c r="N1471">
        <f t="shared" si="68"/>
        <v>0</v>
      </c>
    </row>
    <row r="1472" spans="1:14">
      <c r="A1472">
        <v>7537</v>
      </c>
      <c r="B1472" t="s">
        <v>1019</v>
      </c>
      <c r="C1472" t="s">
        <v>754</v>
      </c>
      <c r="D1472" t="s">
        <v>757</v>
      </c>
      <c r="E1472">
        <v>333657</v>
      </c>
      <c r="G1472" s="2">
        <v>0.3430555555555555</v>
      </c>
      <c r="H1472" s="2">
        <v>0.34375</v>
      </c>
      <c r="J1472">
        <v>1.5609846758048E-2</v>
      </c>
      <c r="K1472" t="s">
        <v>798</v>
      </c>
      <c r="L1472" t="str">
        <f t="shared" si="66"/>
        <v>33</v>
      </c>
      <c r="M1472">
        <f t="shared" si="67"/>
        <v>0</v>
      </c>
      <c r="N1472">
        <f t="shared" si="68"/>
        <v>0</v>
      </c>
    </row>
    <row r="1473" spans="1:14">
      <c r="A1473">
        <v>7537</v>
      </c>
      <c r="B1473" t="s">
        <v>1019</v>
      </c>
      <c r="C1473" t="s">
        <v>754</v>
      </c>
      <c r="D1473" t="s">
        <v>757</v>
      </c>
      <c r="E1473">
        <v>333657</v>
      </c>
      <c r="G1473" s="2">
        <v>0.34375</v>
      </c>
      <c r="H1473" s="2">
        <v>0.3527777777777778</v>
      </c>
      <c r="J1473">
        <v>0.202928007854624</v>
      </c>
      <c r="K1473" t="s">
        <v>814</v>
      </c>
      <c r="L1473" t="str">
        <f t="shared" si="66"/>
        <v>33</v>
      </c>
      <c r="M1473">
        <f t="shared" si="67"/>
        <v>0</v>
      </c>
      <c r="N1473">
        <f t="shared" si="68"/>
        <v>0</v>
      </c>
    </row>
    <row r="1474" spans="1:14">
      <c r="A1474">
        <v>7537</v>
      </c>
      <c r="B1474" t="s">
        <v>1019</v>
      </c>
      <c r="C1474" t="s">
        <v>754</v>
      </c>
      <c r="D1474" t="s">
        <v>757</v>
      </c>
      <c r="E1474">
        <v>333657</v>
      </c>
      <c r="G1474" s="2">
        <v>0.3527777777777778</v>
      </c>
      <c r="H1474" s="2">
        <v>0.37222222222222223</v>
      </c>
      <c r="J1474">
        <v>0.437075709225345</v>
      </c>
      <c r="K1474" t="s">
        <v>798</v>
      </c>
      <c r="L1474" t="str">
        <f t="shared" ref="L1474:L1537" si="69">RIGHT(LEFT(K1474,4),2)</f>
        <v>33</v>
      </c>
      <c r="M1474">
        <f t="shared" ref="M1474:M1537" si="70">IF(I1474=0,0,I1474-H1474)+IF(F1474=0,0,G1474-F1474)</f>
        <v>0</v>
      </c>
      <c r="N1474">
        <f t="shared" ref="N1474:N1537" si="71">(M1474-INT(M1474))*24</f>
        <v>0</v>
      </c>
    </row>
    <row r="1475" spans="1:14">
      <c r="A1475">
        <v>7537</v>
      </c>
      <c r="B1475" t="s">
        <v>1019</v>
      </c>
      <c r="C1475" t="s">
        <v>754</v>
      </c>
      <c r="D1475" t="s">
        <v>757</v>
      </c>
      <c r="E1475">
        <v>333657</v>
      </c>
      <c r="G1475" s="2">
        <v>0.37222222222222223</v>
      </c>
      <c r="H1475" s="2">
        <v>0.37638888888888888</v>
      </c>
      <c r="J1475">
        <v>9.3659080548288101E-2</v>
      </c>
      <c r="K1475" t="s">
        <v>814</v>
      </c>
      <c r="L1475" t="str">
        <f t="shared" si="69"/>
        <v>33</v>
      </c>
      <c r="M1475">
        <f t="shared" si="70"/>
        <v>0</v>
      </c>
      <c r="N1475">
        <f t="shared" si="71"/>
        <v>0</v>
      </c>
    </row>
    <row r="1476" spans="1:14">
      <c r="A1476">
        <v>7537</v>
      </c>
      <c r="B1476" t="s">
        <v>1019</v>
      </c>
      <c r="C1476" t="s">
        <v>754</v>
      </c>
      <c r="D1476" t="s">
        <v>757</v>
      </c>
      <c r="E1476">
        <v>333657</v>
      </c>
      <c r="G1476" s="2">
        <v>0.37638888888888888</v>
      </c>
      <c r="H1476" s="2">
        <v>0.37847222222222227</v>
      </c>
      <c r="J1476">
        <v>4.6829540274144002E-2</v>
      </c>
      <c r="K1476" t="s">
        <v>798</v>
      </c>
      <c r="L1476" t="str">
        <f t="shared" si="69"/>
        <v>33</v>
      </c>
      <c r="M1476">
        <f t="shared" si="70"/>
        <v>0</v>
      </c>
      <c r="N1476">
        <f t="shared" si="71"/>
        <v>0</v>
      </c>
    </row>
    <row r="1477" spans="1:14">
      <c r="A1477">
        <v>7537</v>
      </c>
      <c r="B1477" t="s">
        <v>1019</v>
      </c>
      <c r="C1477" t="s">
        <v>754</v>
      </c>
      <c r="D1477" t="s">
        <v>757</v>
      </c>
      <c r="E1477">
        <v>333657</v>
      </c>
      <c r="G1477" s="2">
        <v>0.37847222222222227</v>
      </c>
      <c r="H1477" s="2">
        <v>0.38055555555555554</v>
      </c>
      <c r="J1477">
        <v>4.6829540274144002E-2</v>
      </c>
      <c r="K1477" t="s">
        <v>814</v>
      </c>
      <c r="L1477" t="str">
        <f t="shared" si="69"/>
        <v>33</v>
      </c>
      <c r="M1477">
        <f t="shared" si="70"/>
        <v>0</v>
      </c>
      <c r="N1477">
        <f t="shared" si="71"/>
        <v>0</v>
      </c>
    </row>
    <row r="1478" spans="1:14">
      <c r="A1478">
        <v>7537</v>
      </c>
      <c r="B1478" t="s">
        <v>1019</v>
      </c>
      <c r="C1478" t="s">
        <v>754</v>
      </c>
      <c r="D1478" t="s">
        <v>757</v>
      </c>
      <c r="E1478">
        <v>333657</v>
      </c>
      <c r="G1478" s="2">
        <v>0.38055555555555554</v>
      </c>
      <c r="H1478" s="2">
        <v>0.38611111111111113</v>
      </c>
      <c r="J1478">
        <v>0.124878774064383</v>
      </c>
      <c r="K1478" t="s">
        <v>798</v>
      </c>
      <c r="L1478" t="str">
        <f t="shared" si="69"/>
        <v>33</v>
      </c>
      <c r="M1478">
        <f t="shared" si="70"/>
        <v>0</v>
      </c>
      <c r="N1478">
        <f t="shared" si="71"/>
        <v>0</v>
      </c>
    </row>
    <row r="1479" spans="1:14">
      <c r="A1479">
        <v>7537</v>
      </c>
      <c r="B1479" t="s">
        <v>1019</v>
      </c>
      <c r="C1479" t="s">
        <v>754</v>
      </c>
      <c r="D1479" t="s">
        <v>757</v>
      </c>
      <c r="E1479">
        <v>333657</v>
      </c>
      <c r="G1479" s="2">
        <v>0.38611111111111113</v>
      </c>
      <c r="H1479" s="2">
        <v>0.39166666666666666</v>
      </c>
      <c r="J1479">
        <v>0.124878774064383</v>
      </c>
      <c r="K1479" t="s">
        <v>814</v>
      </c>
      <c r="L1479" t="str">
        <f t="shared" si="69"/>
        <v>33</v>
      </c>
      <c r="M1479">
        <f t="shared" si="70"/>
        <v>0</v>
      </c>
      <c r="N1479">
        <f t="shared" si="71"/>
        <v>0</v>
      </c>
    </row>
    <row r="1480" spans="1:14">
      <c r="A1480">
        <v>7537</v>
      </c>
      <c r="B1480" t="s">
        <v>1019</v>
      </c>
      <c r="C1480" t="s">
        <v>754</v>
      </c>
      <c r="D1480" t="s">
        <v>757</v>
      </c>
      <c r="E1480">
        <v>333657</v>
      </c>
      <c r="G1480" s="2">
        <v>0.39166666666666666</v>
      </c>
      <c r="H1480" s="2">
        <v>0.39583333333333331</v>
      </c>
      <c r="J1480">
        <v>9.3659080548288101E-2</v>
      </c>
      <c r="K1480" t="s">
        <v>798</v>
      </c>
      <c r="L1480" t="str">
        <f t="shared" si="69"/>
        <v>33</v>
      </c>
      <c r="M1480">
        <f t="shared" si="70"/>
        <v>0</v>
      </c>
      <c r="N1480">
        <f t="shared" si="71"/>
        <v>0</v>
      </c>
    </row>
    <row r="1481" spans="1:14">
      <c r="A1481">
        <v>7537</v>
      </c>
      <c r="B1481" t="s">
        <v>1019</v>
      </c>
      <c r="C1481" t="s">
        <v>754</v>
      </c>
      <c r="D1481" t="s">
        <v>757</v>
      </c>
      <c r="E1481">
        <v>333657</v>
      </c>
      <c r="G1481" s="2">
        <v>0.39583333333333331</v>
      </c>
      <c r="H1481" s="2">
        <v>0.3979166666666667</v>
      </c>
      <c r="J1481">
        <v>4.6829540274144002E-2</v>
      </c>
      <c r="K1481" t="s">
        <v>813</v>
      </c>
      <c r="L1481" t="str">
        <f t="shared" si="69"/>
        <v>33</v>
      </c>
      <c r="M1481">
        <f t="shared" si="70"/>
        <v>0</v>
      </c>
      <c r="N1481">
        <f t="shared" si="71"/>
        <v>0</v>
      </c>
    </row>
    <row r="1482" spans="1:14">
      <c r="A1482">
        <v>7537</v>
      </c>
      <c r="B1482" t="s">
        <v>1019</v>
      </c>
      <c r="C1482" t="s">
        <v>754</v>
      </c>
      <c r="D1482" t="s">
        <v>757</v>
      </c>
      <c r="E1482">
        <v>333657</v>
      </c>
      <c r="G1482" s="2">
        <v>0.3979166666666667</v>
      </c>
      <c r="H1482" s="2">
        <v>0.40138888888888885</v>
      </c>
      <c r="J1482">
        <v>7.8049233790240105E-2</v>
      </c>
      <c r="K1482" t="s">
        <v>800</v>
      </c>
      <c r="L1482" t="str">
        <f t="shared" si="69"/>
        <v>33</v>
      </c>
      <c r="M1482">
        <f t="shared" si="70"/>
        <v>0</v>
      </c>
      <c r="N1482">
        <f t="shared" si="71"/>
        <v>0</v>
      </c>
    </row>
    <row r="1483" spans="1:14">
      <c r="A1483">
        <v>7537</v>
      </c>
      <c r="B1483" t="s">
        <v>1019</v>
      </c>
      <c r="C1483" t="s">
        <v>754</v>
      </c>
      <c r="D1483" t="s">
        <v>757</v>
      </c>
      <c r="E1483">
        <v>333657</v>
      </c>
      <c r="G1483" s="2">
        <v>0.40138888888888885</v>
      </c>
      <c r="H1483" s="2">
        <v>0.41041666666666665</v>
      </c>
      <c r="J1483">
        <v>0.202928007854624</v>
      </c>
      <c r="K1483" t="s">
        <v>798</v>
      </c>
      <c r="L1483" t="str">
        <f t="shared" si="69"/>
        <v>33</v>
      </c>
      <c r="M1483">
        <f t="shared" si="70"/>
        <v>0</v>
      </c>
      <c r="N1483">
        <f t="shared" si="71"/>
        <v>0</v>
      </c>
    </row>
    <row r="1484" spans="1:14">
      <c r="A1484">
        <v>7537</v>
      </c>
      <c r="B1484" t="s">
        <v>1019</v>
      </c>
      <c r="C1484" t="s">
        <v>754</v>
      </c>
      <c r="D1484" t="s">
        <v>757</v>
      </c>
      <c r="E1484">
        <v>333657</v>
      </c>
      <c r="G1484" s="2">
        <v>0.41041666666666665</v>
      </c>
      <c r="H1484" s="2">
        <v>0.41875000000000001</v>
      </c>
      <c r="J1484">
        <v>0.18731816109657601</v>
      </c>
      <c r="K1484" t="s">
        <v>814</v>
      </c>
      <c r="L1484" t="str">
        <f t="shared" si="69"/>
        <v>33</v>
      </c>
      <c r="M1484">
        <f t="shared" si="70"/>
        <v>0</v>
      </c>
      <c r="N1484">
        <f t="shared" si="71"/>
        <v>0</v>
      </c>
    </row>
    <row r="1485" spans="1:14">
      <c r="A1485">
        <v>7537</v>
      </c>
      <c r="B1485" t="s">
        <v>1019</v>
      </c>
      <c r="C1485" t="s">
        <v>754</v>
      </c>
      <c r="D1485" t="s">
        <v>757</v>
      </c>
      <c r="E1485">
        <v>333657</v>
      </c>
      <c r="G1485" s="2">
        <v>0.41875000000000001</v>
      </c>
      <c r="H1485" s="2">
        <v>0.42083333333333334</v>
      </c>
      <c r="J1485">
        <v>4.6829540274144002E-2</v>
      </c>
      <c r="K1485" t="s">
        <v>798</v>
      </c>
      <c r="L1485" t="str">
        <f t="shared" si="69"/>
        <v>33</v>
      </c>
      <c r="M1485">
        <f t="shared" si="70"/>
        <v>0</v>
      </c>
      <c r="N1485">
        <f t="shared" si="71"/>
        <v>0</v>
      </c>
    </row>
    <row r="1486" spans="1:14">
      <c r="A1486">
        <v>7537</v>
      </c>
      <c r="B1486" t="s">
        <v>1019</v>
      </c>
      <c r="C1486" t="s">
        <v>754</v>
      </c>
      <c r="D1486" t="s">
        <v>757</v>
      </c>
      <c r="E1486">
        <v>333657</v>
      </c>
      <c r="G1486" s="2">
        <v>0.42083333333333334</v>
      </c>
      <c r="H1486" s="2">
        <v>0.43263888888888885</v>
      </c>
      <c r="J1486">
        <v>0.26536739488681599</v>
      </c>
      <c r="K1486" t="s">
        <v>799</v>
      </c>
      <c r="L1486" t="str">
        <f t="shared" si="69"/>
        <v>33</v>
      </c>
      <c r="M1486">
        <f t="shared" si="70"/>
        <v>0</v>
      </c>
      <c r="N1486">
        <f t="shared" si="71"/>
        <v>0</v>
      </c>
    </row>
    <row r="1487" spans="1:14">
      <c r="A1487">
        <v>7537</v>
      </c>
      <c r="B1487" t="s">
        <v>1019</v>
      </c>
      <c r="C1487" t="s">
        <v>754</v>
      </c>
      <c r="D1487" t="s">
        <v>757</v>
      </c>
      <c r="E1487">
        <v>333657</v>
      </c>
      <c r="G1487" s="2">
        <v>0.43263888888888885</v>
      </c>
      <c r="H1487" s="2">
        <v>0.43541666666666662</v>
      </c>
      <c r="J1487">
        <v>6.2439387032192102E-2</v>
      </c>
      <c r="K1487" t="s">
        <v>800</v>
      </c>
      <c r="L1487" t="str">
        <f t="shared" si="69"/>
        <v>33</v>
      </c>
      <c r="M1487">
        <f t="shared" si="70"/>
        <v>0</v>
      </c>
      <c r="N1487">
        <f t="shared" si="71"/>
        <v>0</v>
      </c>
    </row>
    <row r="1488" spans="1:14">
      <c r="A1488">
        <v>7537</v>
      </c>
      <c r="B1488" t="s">
        <v>1019</v>
      </c>
      <c r="C1488" t="s">
        <v>754</v>
      </c>
      <c r="D1488" t="s">
        <v>757</v>
      </c>
      <c r="E1488">
        <v>333657</v>
      </c>
      <c r="G1488" s="2">
        <v>0.43541666666666662</v>
      </c>
      <c r="H1488" s="2">
        <v>0.47222222222222227</v>
      </c>
      <c r="J1488">
        <v>0.82732187817654501</v>
      </c>
      <c r="K1488" t="s">
        <v>798</v>
      </c>
      <c r="L1488" t="str">
        <f t="shared" si="69"/>
        <v>33</v>
      </c>
      <c r="M1488">
        <f t="shared" si="70"/>
        <v>0</v>
      </c>
      <c r="N1488">
        <f t="shared" si="71"/>
        <v>0</v>
      </c>
    </row>
    <row r="1489" spans="1:14">
      <c r="A1489">
        <v>7537</v>
      </c>
      <c r="B1489" t="s">
        <v>1019</v>
      </c>
      <c r="C1489" t="s">
        <v>754</v>
      </c>
      <c r="D1489" t="s">
        <v>757</v>
      </c>
      <c r="E1489">
        <v>333657</v>
      </c>
      <c r="G1489" s="2">
        <v>0.47222222222222227</v>
      </c>
      <c r="H1489" s="2">
        <v>0.47499999999999998</v>
      </c>
      <c r="J1489">
        <v>6.2439387032192102E-2</v>
      </c>
      <c r="K1489" t="s">
        <v>814</v>
      </c>
      <c r="L1489" t="str">
        <f t="shared" si="69"/>
        <v>33</v>
      </c>
      <c r="M1489">
        <f t="shared" si="70"/>
        <v>0</v>
      </c>
      <c r="N1489">
        <f t="shared" si="71"/>
        <v>0</v>
      </c>
    </row>
    <row r="1490" spans="1:14">
      <c r="A1490">
        <v>7537</v>
      </c>
      <c r="B1490" t="s">
        <v>1019</v>
      </c>
      <c r="C1490" t="s">
        <v>754</v>
      </c>
      <c r="D1490" t="s">
        <v>757</v>
      </c>
      <c r="E1490">
        <v>333657</v>
      </c>
      <c r="G1490" s="2">
        <v>0.47499999999999998</v>
      </c>
      <c r="H1490" s="2">
        <v>0.48055555555555557</v>
      </c>
      <c r="J1490">
        <v>0.124878774064383</v>
      </c>
      <c r="K1490" t="s">
        <v>798</v>
      </c>
      <c r="L1490" t="str">
        <f t="shared" si="69"/>
        <v>33</v>
      </c>
      <c r="M1490">
        <f t="shared" si="70"/>
        <v>0</v>
      </c>
      <c r="N1490">
        <f t="shared" si="71"/>
        <v>0</v>
      </c>
    </row>
    <row r="1491" spans="1:14">
      <c r="A1491">
        <v>7537</v>
      </c>
      <c r="B1491" t="s">
        <v>1019</v>
      </c>
      <c r="C1491" t="s">
        <v>754</v>
      </c>
      <c r="D1491" t="s">
        <v>757</v>
      </c>
      <c r="E1491">
        <v>333657</v>
      </c>
      <c r="G1491" s="2">
        <v>0.48055555555555557</v>
      </c>
      <c r="H1491" s="2">
        <v>0.48333333333333334</v>
      </c>
      <c r="J1491">
        <v>6.2439387032192102E-2</v>
      </c>
      <c r="K1491" t="s">
        <v>800</v>
      </c>
      <c r="L1491" t="str">
        <f t="shared" si="69"/>
        <v>33</v>
      </c>
      <c r="M1491">
        <f t="shared" si="70"/>
        <v>0</v>
      </c>
      <c r="N1491">
        <f t="shared" si="71"/>
        <v>0</v>
      </c>
    </row>
    <row r="1492" spans="1:14">
      <c r="A1492">
        <v>7537</v>
      </c>
      <c r="B1492" t="s">
        <v>1019</v>
      </c>
      <c r="C1492" t="s">
        <v>754</v>
      </c>
      <c r="D1492" t="s">
        <v>757</v>
      </c>
      <c r="E1492">
        <v>333657</v>
      </c>
      <c r="G1492" s="2">
        <v>0.48333333333333334</v>
      </c>
      <c r="H1492" s="2">
        <v>0.48472222222222222</v>
      </c>
      <c r="J1492">
        <v>3.1219693516095999E-2</v>
      </c>
      <c r="K1492" t="s">
        <v>814</v>
      </c>
      <c r="L1492" t="str">
        <f t="shared" si="69"/>
        <v>33</v>
      </c>
      <c r="M1492">
        <f t="shared" si="70"/>
        <v>0</v>
      </c>
      <c r="N1492">
        <f t="shared" si="71"/>
        <v>0</v>
      </c>
    </row>
    <row r="1493" spans="1:14">
      <c r="A1493">
        <v>7537</v>
      </c>
      <c r="B1493" t="s">
        <v>1019</v>
      </c>
      <c r="C1493" t="s">
        <v>754</v>
      </c>
      <c r="D1493" t="s">
        <v>757</v>
      </c>
      <c r="E1493">
        <v>333657</v>
      </c>
      <c r="G1493" s="2">
        <v>0.48472222222222222</v>
      </c>
      <c r="H1493" s="2">
        <v>0.48958333333333331</v>
      </c>
      <c r="J1493">
        <v>0.109268927306336</v>
      </c>
      <c r="K1493" t="s">
        <v>798</v>
      </c>
      <c r="L1493" t="str">
        <f t="shared" si="69"/>
        <v>33</v>
      </c>
      <c r="M1493">
        <f t="shared" si="70"/>
        <v>0</v>
      </c>
      <c r="N1493">
        <f t="shared" si="71"/>
        <v>0</v>
      </c>
    </row>
    <row r="1494" spans="1:14">
      <c r="A1494">
        <v>7537</v>
      </c>
      <c r="B1494" t="s">
        <v>1019</v>
      </c>
      <c r="C1494" t="s">
        <v>754</v>
      </c>
      <c r="D1494" t="s">
        <v>757</v>
      </c>
      <c r="E1494">
        <v>333657</v>
      </c>
      <c r="G1494" s="2">
        <v>0.48958333333333331</v>
      </c>
      <c r="H1494" s="2">
        <v>0.49513888888888885</v>
      </c>
      <c r="J1494">
        <v>0.124878774064383</v>
      </c>
      <c r="K1494" t="s">
        <v>800</v>
      </c>
      <c r="L1494" t="str">
        <f t="shared" si="69"/>
        <v>33</v>
      </c>
      <c r="M1494">
        <f t="shared" si="70"/>
        <v>0</v>
      </c>
      <c r="N1494">
        <f t="shared" si="71"/>
        <v>0</v>
      </c>
    </row>
    <row r="1495" spans="1:14">
      <c r="A1495">
        <v>7537</v>
      </c>
      <c r="B1495" t="s">
        <v>1019</v>
      </c>
      <c r="C1495" t="s">
        <v>754</v>
      </c>
      <c r="D1495" t="s">
        <v>757</v>
      </c>
      <c r="E1495">
        <v>333657</v>
      </c>
      <c r="G1495" s="2">
        <v>0.49513888888888885</v>
      </c>
      <c r="H1495" s="2">
        <v>0.49791666666666662</v>
      </c>
      <c r="J1495">
        <v>6.2439387032192102E-2</v>
      </c>
      <c r="K1495" t="s">
        <v>799</v>
      </c>
      <c r="L1495" t="str">
        <f t="shared" si="69"/>
        <v>33</v>
      </c>
      <c r="M1495">
        <f t="shared" si="70"/>
        <v>0</v>
      </c>
      <c r="N1495">
        <f t="shared" si="71"/>
        <v>0</v>
      </c>
    </row>
    <row r="1496" spans="1:14">
      <c r="A1496">
        <v>7537</v>
      </c>
      <c r="B1496" t="s">
        <v>1019</v>
      </c>
      <c r="C1496" t="s">
        <v>754</v>
      </c>
      <c r="D1496" t="s">
        <v>757</v>
      </c>
      <c r="E1496">
        <v>333657</v>
      </c>
      <c r="G1496" s="2">
        <v>0.49791666666666662</v>
      </c>
      <c r="H1496" s="2">
        <v>0.50416666666666665</v>
      </c>
      <c r="J1496">
        <v>0.14048862082243199</v>
      </c>
      <c r="K1496" t="s">
        <v>798</v>
      </c>
      <c r="L1496" t="str">
        <f t="shared" si="69"/>
        <v>33</v>
      </c>
      <c r="M1496">
        <f t="shared" si="70"/>
        <v>0</v>
      </c>
      <c r="N1496">
        <f t="shared" si="71"/>
        <v>0</v>
      </c>
    </row>
    <row r="1497" spans="1:14">
      <c r="A1497">
        <v>7537</v>
      </c>
      <c r="B1497" t="s">
        <v>1019</v>
      </c>
      <c r="C1497" t="s">
        <v>754</v>
      </c>
      <c r="D1497" t="s">
        <v>757</v>
      </c>
      <c r="E1497">
        <v>333657</v>
      </c>
      <c r="G1497" s="2">
        <v>0.50416666666666665</v>
      </c>
      <c r="H1497" s="2">
        <v>0.53125</v>
      </c>
      <c r="J1497">
        <v>0.60878402356387296</v>
      </c>
      <c r="K1497" t="s">
        <v>799</v>
      </c>
      <c r="L1497" t="str">
        <f t="shared" si="69"/>
        <v>33</v>
      </c>
      <c r="M1497">
        <f t="shared" si="70"/>
        <v>0</v>
      </c>
      <c r="N1497">
        <f t="shared" si="71"/>
        <v>0</v>
      </c>
    </row>
    <row r="1498" spans="1:14">
      <c r="A1498">
        <v>7537</v>
      </c>
      <c r="B1498" t="s">
        <v>1019</v>
      </c>
      <c r="C1498" t="s">
        <v>754</v>
      </c>
      <c r="D1498" t="s">
        <v>757</v>
      </c>
      <c r="E1498">
        <v>333657</v>
      </c>
      <c r="G1498" s="2">
        <v>0.53125</v>
      </c>
      <c r="H1498" s="2">
        <v>0.54166666666666663</v>
      </c>
      <c r="J1498">
        <v>0.23414770137072</v>
      </c>
      <c r="K1498" t="s">
        <v>800</v>
      </c>
      <c r="L1498" t="str">
        <f t="shared" si="69"/>
        <v>33</v>
      </c>
      <c r="M1498">
        <f t="shared" si="70"/>
        <v>0</v>
      </c>
      <c r="N1498">
        <f t="shared" si="71"/>
        <v>0</v>
      </c>
    </row>
    <row r="1499" spans="1:14">
      <c r="A1499">
        <v>7583</v>
      </c>
      <c r="B1499" t="s">
        <v>1020</v>
      </c>
      <c r="C1499" t="s">
        <v>756</v>
      </c>
      <c r="E1499">
        <v>141833</v>
      </c>
      <c r="G1499" s="2">
        <v>0.875</v>
      </c>
      <c r="H1499" s="2">
        <v>0.93958333333333333</v>
      </c>
      <c r="J1499">
        <v>1.5347583333333299</v>
      </c>
      <c r="K1499" t="s">
        <v>796</v>
      </c>
      <c r="L1499" t="str">
        <f t="shared" si="69"/>
        <v>37</v>
      </c>
      <c r="M1499">
        <f t="shared" si="70"/>
        <v>0</v>
      </c>
      <c r="N1499">
        <f t="shared" si="71"/>
        <v>0</v>
      </c>
    </row>
    <row r="1500" spans="1:14">
      <c r="A1500">
        <v>7583</v>
      </c>
      <c r="B1500" t="s">
        <v>1020</v>
      </c>
      <c r="C1500" t="s">
        <v>756</v>
      </c>
      <c r="E1500">
        <v>141833</v>
      </c>
      <c r="G1500" s="2">
        <v>0.93958333333333333</v>
      </c>
      <c r="H1500" s="2">
        <v>0.95833333333333337</v>
      </c>
      <c r="J1500">
        <v>0.445574999999999</v>
      </c>
      <c r="K1500" t="s">
        <v>797</v>
      </c>
      <c r="L1500" t="str">
        <f t="shared" si="69"/>
        <v>37</v>
      </c>
      <c r="M1500">
        <f t="shared" si="70"/>
        <v>0</v>
      </c>
      <c r="N1500">
        <f t="shared" si="71"/>
        <v>0</v>
      </c>
    </row>
    <row r="1501" spans="1:14">
      <c r="A1501">
        <v>7881</v>
      </c>
      <c r="B1501" t="s">
        <v>1021</v>
      </c>
      <c r="C1501" t="s">
        <v>756</v>
      </c>
      <c r="E1501">
        <v>531250</v>
      </c>
      <c r="G1501" s="2">
        <v>0.4236111111111111</v>
      </c>
      <c r="H1501" s="2">
        <v>0.47013888888888888</v>
      </c>
      <c r="J1501">
        <v>1.04481796547231</v>
      </c>
      <c r="K1501" t="s">
        <v>778</v>
      </c>
      <c r="L1501" t="str">
        <f t="shared" si="69"/>
        <v>37</v>
      </c>
      <c r="M1501">
        <f t="shared" si="70"/>
        <v>0</v>
      </c>
      <c r="N1501">
        <f t="shared" si="71"/>
        <v>0</v>
      </c>
    </row>
    <row r="1502" spans="1:14">
      <c r="A1502">
        <v>7881</v>
      </c>
      <c r="B1502" t="s">
        <v>1021</v>
      </c>
      <c r="C1502" t="s">
        <v>756</v>
      </c>
      <c r="E1502">
        <v>531250</v>
      </c>
      <c r="G1502" s="2">
        <v>0.47013888888888888</v>
      </c>
      <c r="H1502" s="2">
        <v>0.47013888888888888</v>
      </c>
      <c r="J1502">
        <v>0</v>
      </c>
      <c r="K1502" t="s">
        <v>817</v>
      </c>
      <c r="L1502" t="str">
        <f t="shared" si="69"/>
        <v>46</v>
      </c>
      <c r="M1502">
        <f t="shared" si="70"/>
        <v>0</v>
      </c>
      <c r="N1502">
        <f t="shared" si="71"/>
        <v>0</v>
      </c>
    </row>
    <row r="1503" spans="1:14">
      <c r="A1503">
        <v>7881</v>
      </c>
      <c r="B1503" t="s">
        <v>1021</v>
      </c>
      <c r="C1503" t="s">
        <v>756</v>
      </c>
      <c r="E1503">
        <v>531250</v>
      </c>
      <c r="G1503" s="2">
        <v>0.47013888888888888</v>
      </c>
      <c r="H1503" s="2">
        <v>0.47361111111111115</v>
      </c>
      <c r="J1503">
        <v>7.7971489960619797E-2</v>
      </c>
      <c r="K1503" t="s">
        <v>815</v>
      </c>
      <c r="L1503" t="str">
        <f t="shared" si="69"/>
        <v>46</v>
      </c>
      <c r="M1503">
        <f t="shared" si="70"/>
        <v>0</v>
      </c>
      <c r="N1503">
        <f t="shared" si="71"/>
        <v>0</v>
      </c>
    </row>
    <row r="1504" spans="1:14">
      <c r="A1504">
        <v>7881</v>
      </c>
      <c r="B1504" t="s">
        <v>1021</v>
      </c>
      <c r="C1504" t="s">
        <v>756</v>
      </c>
      <c r="E1504">
        <v>531250</v>
      </c>
      <c r="G1504" s="2">
        <v>0.47361111111111115</v>
      </c>
      <c r="H1504" s="2">
        <v>0.47361111111111115</v>
      </c>
      <c r="J1504">
        <v>0</v>
      </c>
      <c r="K1504" t="s">
        <v>817</v>
      </c>
      <c r="L1504" t="str">
        <f t="shared" si="69"/>
        <v>46</v>
      </c>
      <c r="M1504">
        <f t="shared" si="70"/>
        <v>0</v>
      </c>
      <c r="N1504">
        <f t="shared" si="71"/>
        <v>0</v>
      </c>
    </row>
    <row r="1505" spans="1:14">
      <c r="A1505">
        <v>7881</v>
      </c>
      <c r="B1505" t="s">
        <v>1021</v>
      </c>
      <c r="C1505" t="s">
        <v>756</v>
      </c>
      <c r="E1505">
        <v>531250</v>
      </c>
      <c r="G1505" s="2">
        <v>0.47361111111111115</v>
      </c>
      <c r="H1505" s="2">
        <v>0.72152777777777777</v>
      </c>
      <c r="J1505">
        <v>5.5671643831882598</v>
      </c>
      <c r="K1505" t="s">
        <v>815</v>
      </c>
      <c r="L1505" t="str">
        <f t="shared" si="69"/>
        <v>46</v>
      </c>
      <c r="M1505">
        <f t="shared" si="70"/>
        <v>0</v>
      </c>
      <c r="N1505">
        <f t="shared" si="71"/>
        <v>0</v>
      </c>
    </row>
    <row r="1506" spans="1:14">
      <c r="A1506">
        <v>7881</v>
      </c>
      <c r="B1506" t="s">
        <v>1021</v>
      </c>
      <c r="C1506" t="s">
        <v>756</v>
      </c>
      <c r="E1506">
        <v>531250</v>
      </c>
      <c r="G1506" s="2">
        <v>0.72152777777777777</v>
      </c>
      <c r="H1506" s="2">
        <v>0.72569444444444453</v>
      </c>
      <c r="J1506">
        <v>9.3565787952743895E-2</v>
      </c>
      <c r="K1506" t="s">
        <v>817</v>
      </c>
      <c r="L1506" t="str">
        <f t="shared" si="69"/>
        <v>46</v>
      </c>
      <c r="M1506">
        <f t="shared" si="70"/>
        <v>0</v>
      </c>
      <c r="N1506">
        <f t="shared" si="71"/>
        <v>0</v>
      </c>
    </row>
    <row r="1507" spans="1:14">
      <c r="A1507">
        <v>7881</v>
      </c>
      <c r="B1507" t="s">
        <v>1021</v>
      </c>
      <c r="C1507" t="s">
        <v>756</v>
      </c>
      <c r="E1507">
        <v>531250</v>
      </c>
      <c r="G1507" s="2">
        <v>0.72569444444444453</v>
      </c>
      <c r="H1507" s="2">
        <v>0.72569444444444453</v>
      </c>
      <c r="J1507">
        <v>0</v>
      </c>
      <c r="K1507" t="s">
        <v>815</v>
      </c>
      <c r="L1507" t="str">
        <f t="shared" si="69"/>
        <v>46</v>
      </c>
      <c r="M1507">
        <f t="shared" si="70"/>
        <v>0</v>
      </c>
      <c r="N1507">
        <f t="shared" si="71"/>
        <v>0</v>
      </c>
    </row>
    <row r="1508" spans="1:14">
      <c r="A1508">
        <v>7881</v>
      </c>
      <c r="B1508" t="s">
        <v>1021</v>
      </c>
      <c r="C1508" t="s">
        <v>756</v>
      </c>
      <c r="E1508">
        <v>531250</v>
      </c>
      <c r="G1508" s="2">
        <v>0.72569444444444453</v>
      </c>
      <c r="H1508" s="2">
        <v>0.72777777777777775</v>
      </c>
      <c r="J1508">
        <v>4.6782893976371899E-2</v>
      </c>
      <c r="K1508" t="s">
        <v>817</v>
      </c>
      <c r="L1508" t="str">
        <f t="shared" si="69"/>
        <v>46</v>
      </c>
      <c r="M1508">
        <f t="shared" si="70"/>
        <v>0</v>
      </c>
      <c r="N1508">
        <f t="shared" si="71"/>
        <v>0</v>
      </c>
    </row>
    <row r="1509" spans="1:14">
      <c r="A1509">
        <v>7881</v>
      </c>
      <c r="B1509" t="s">
        <v>1021</v>
      </c>
      <c r="C1509" t="s">
        <v>756</v>
      </c>
      <c r="E1509">
        <v>531250</v>
      </c>
      <c r="G1509" s="2">
        <v>0.72777777777777775</v>
      </c>
      <c r="H1509" s="2">
        <v>0.75</v>
      </c>
      <c r="J1509">
        <v>0.49901753574796698</v>
      </c>
      <c r="K1509" t="s">
        <v>815</v>
      </c>
      <c r="L1509" t="str">
        <f t="shared" si="69"/>
        <v>46</v>
      </c>
      <c r="M1509">
        <f t="shared" si="70"/>
        <v>0</v>
      </c>
      <c r="N1509">
        <f t="shared" si="71"/>
        <v>0</v>
      </c>
    </row>
    <row r="1510" spans="1:14">
      <c r="A1510">
        <v>7633</v>
      </c>
      <c r="B1510" t="s">
        <v>1022</v>
      </c>
      <c r="C1510" t="s">
        <v>754</v>
      </c>
      <c r="D1510" t="s">
        <v>1015</v>
      </c>
      <c r="E1510">
        <v>342312</v>
      </c>
      <c r="G1510" s="2">
        <v>0.21458333333333335</v>
      </c>
      <c r="H1510" s="2">
        <v>0.22013888888888888</v>
      </c>
      <c r="J1510">
        <v>0.126489802110234</v>
      </c>
      <c r="K1510" t="s">
        <v>780</v>
      </c>
      <c r="L1510" t="str">
        <f t="shared" si="69"/>
        <v>46</v>
      </c>
      <c r="M1510">
        <f t="shared" si="70"/>
        <v>0</v>
      </c>
      <c r="N1510">
        <f t="shared" si="71"/>
        <v>0</v>
      </c>
    </row>
    <row r="1511" spans="1:14">
      <c r="A1511">
        <v>7633</v>
      </c>
      <c r="B1511" t="s">
        <v>1022</v>
      </c>
      <c r="C1511" t="s">
        <v>754</v>
      </c>
      <c r="D1511" t="s">
        <v>1015</v>
      </c>
      <c r="E1511">
        <v>342312</v>
      </c>
      <c r="G1511" s="2">
        <v>0.22013888888888888</v>
      </c>
      <c r="H1511" s="2">
        <v>0.24652777777777779</v>
      </c>
      <c r="J1511">
        <v>0.60082656002361301</v>
      </c>
      <c r="K1511" t="s">
        <v>779</v>
      </c>
      <c r="L1511" t="str">
        <f t="shared" si="69"/>
        <v>37</v>
      </c>
      <c r="M1511">
        <f t="shared" si="70"/>
        <v>0</v>
      </c>
      <c r="N1511">
        <f t="shared" si="71"/>
        <v>0</v>
      </c>
    </row>
    <row r="1512" spans="1:14">
      <c r="A1512">
        <v>7633</v>
      </c>
      <c r="B1512" t="s">
        <v>1022</v>
      </c>
      <c r="C1512" t="s">
        <v>754</v>
      </c>
      <c r="D1512" t="s">
        <v>1015</v>
      </c>
      <c r="E1512">
        <v>342312</v>
      </c>
      <c r="G1512" s="2">
        <v>0.24652777777777779</v>
      </c>
      <c r="H1512" s="2">
        <v>0.2638888888888889</v>
      </c>
      <c r="J1512">
        <v>0.39528063159448301</v>
      </c>
      <c r="K1512" t="s">
        <v>780</v>
      </c>
      <c r="L1512" t="str">
        <f t="shared" si="69"/>
        <v>46</v>
      </c>
      <c r="M1512">
        <f t="shared" si="70"/>
        <v>0</v>
      </c>
      <c r="N1512">
        <f t="shared" si="71"/>
        <v>0</v>
      </c>
    </row>
    <row r="1513" spans="1:14">
      <c r="A1513">
        <v>7633</v>
      </c>
      <c r="B1513" t="s">
        <v>1022</v>
      </c>
      <c r="C1513" t="s">
        <v>754</v>
      </c>
      <c r="D1513" t="s">
        <v>1015</v>
      </c>
      <c r="E1513">
        <v>342312</v>
      </c>
      <c r="G1513" s="2">
        <v>0.2638888888888889</v>
      </c>
      <c r="H1513" s="2">
        <v>0.51180555555555551</v>
      </c>
      <c r="J1513">
        <v>5.6446074191692102</v>
      </c>
      <c r="K1513" t="s">
        <v>779</v>
      </c>
      <c r="L1513" t="str">
        <f t="shared" si="69"/>
        <v>37</v>
      </c>
      <c r="M1513">
        <f t="shared" si="70"/>
        <v>0</v>
      </c>
      <c r="N1513">
        <f t="shared" si="71"/>
        <v>0</v>
      </c>
    </row>
    <row r="1514" spans="1:14">
      <c r="A1514">
        <v>7633</v>
      </c>
      <c r="B1514" t="s">
        <v>1022</v>
      </c>
      <c r="C1514" t="s">
        <v>754</v>
      </c>
      <c r="D1514" t="s">
        <v>1015</v>
      </c>
      <c r="E1514">
        <v>342312</v>
      </c>
      <c r="G1514" s="2">
        <v>0.51180555555555551</v>
      </c>
      <c r="H1514" s="2">
        <v>0.51666666666666672</v>
      </c>
      <c r="J1514">
        <v>0.110678576846455</v>
      </c>
      <c r="K1514" t="s">
        <v>877</v>
      </c>
      <c r="L1514" t="str">
        <f t="shared" si="69"/>
        <v>46</v>
      </c>
      <c r="M1514">
        <f t="shared" si="70"/>
        <v>0</v>
      </c>
      <c r="N1514">
        <f t="shared" si="71"/>
        <v>0</v>
      </c>
    </row>
    <row r="1515" spans="1:14">
      <c r="A1515">
        <v>7633</v>
      </c>
      <c r="B1515" t="s">
        <v>1022</v>
      </c>
      <c r="C1515" t="s">
        <v>754</v>
      </c>
      <c r="D1515" t="s">
        <v>1015</v>
      </c>
      <c r="E1515">
        <v>342312</v>
      </c>
      <c r="G1515" s="2">
        <v>0.51666666666666672</v>
      </c>
      <c r="H1515" s="2">
        <v>0.52500000000000002</v>
      </c>
      <c r="J1515">
        <v>0.18973470316535099</v>
      </c>
      <c r="K1515" t="s">
        <v>817</v>
      </c>
      <c r="L1515" t="str">
        <f t="shared" si="69"/>
        <v>46</v>
      </c>
      <c r="M1515">
        <f t="shared" si="70"/>
        <v>0</v>
      </c>
      <c r="N1515">
        <f t="shared" si="71"/>
        <v>0</v>
      </c>
    </row>
    <row r="1516" spans="1:14">
      <c r="A1516">
        <v>7633</v>
      </c>
      <c r="B1516" t="s">
        <v>1022</v>
      </c>
      <c r="C1516" t="s">
        <v>754</v>
      </c>
      <c r="D1516" t="s">
        <v>1015</v>
      </c>
      <c r="E1516">
        <v>342312</v>
      </c>
      <c r="G1516" s="2">
        <v>0.52500000000000002</v>
      </c>
      <c r="H1516" s="2">
        <v>0.52777777777777779</v>
      </c>
      <c r="J1516">
        <v>6.3244901055117306E-2</v>
      </c>
      <c r="K1516" t="s">
        <v>877</v>
      </c>
      <c r="L1516" t="str">
        <f t="shared" si="69"/>
        <v>46</v>
      </c>
      <c r="M1516">
        <f t="shared" si="70"/>
        <v>0</v>
      </c>
      <c r="N1516">
        <f t="shared" si="71"/>
        <v>0</v>
      </c>
    </row>
    <row r="1517" spans="1:14">
      <c r="A1517">
        <v>7633</v>
      </c>
      <c r="B1517" t="s">
        <v>1022</v>
      </c>
      <c r="C1517" t="s">
        <v>754</v>
      </c>
      <c r="D1517" t="s">
        <v>1015</v>
      </c>
      <c r="E1517">
        <v>342312</v>
      </c>
      <c r="G1517" s="2">
        <v>0.52777777777777779</v>
      </c>
      <c r="H1517" s="2">
        <v>0.625</v>
      </c>
      <c r="J1517">
        <v>2.2135715369290998</v>
      </c>
      <c r="K1517" t="s">
        <v>817</v>
      </c>
      <c r="L1517" t="str">
        <f t="shared" si="69"/>
        <v>46</v>
      </c>
      <c r="M1517">
        <f t="shared" si="70"/>
        <v>0</v>
      </c>
      <c r="N1517">
        <f t="shared" si="71"/>
        <v>0</v>
      </c>
    </row>
    <row r="1518" spans="1:14">
      <c r="A1518">
        <v>7885</v>
      </c>
      <c r="B1518" t="s">
        <v>1023</v>
      </c>
      <c r="C1518" t="s">
        <v>756</v>
      </c>
      <c r="E1518">
        <v>531141</v>
      </c>
      <c r="G1518" s="2">
        <v>0.29652777777777778</v>
      </c>
      <c r="H1518" s="2">
        <v>0.3</v>
      </c>
      <c r="J1518">
        <v>7.8005090510359004E-2</v>
      </c>
      <c r="K1518" t="s">
        <v>798</v>
      </c>
      <c r="L1518" t="str">
        <f t="shared" si="69"/>
        <v>33</v>
      </c>
      <c r="M1518">
        <f t="shared" si="70"/>
        <v>0</v>
      </c>
      <c r="N1518">
        <f t="shared" si="71"/>
        <v>0</v>
      </c>
    </row>
    <row r="1519" spans="1:14">
      <c r="A1519">
        <v>7885</v>
      </c>
      <c r="B1519" t="s">
        <v>1023</v>
      </c>
      <c r="C1519" t="s">
        <v>756</v>
      </c>
      <c r="E1519">
        <v>531141</v>
      </c>
      <c r="G1519" s="2">
        <v>0.3</v>
      </c>
      <c r="H1519" s="2">
        <v>0.32708333333333334</v>
      </c>
      <c r="J1519">
        <v>0.60843970598080099</v>
      </c>
      <c r="K1519" t="s">
        <v>813</v>
      </c>
      <c r="L1519" t="str">
        <f t="shared" si="69"/>
        <v>33</v>
      </c>
      <c r="M1519">
        <f t="shared" si="70"/>
        <v>0</v>
      </c>
      <c r="N1519">
        <f t="shared" si="71"/>
        <v>0</v>
      </c>
    </row>
    <row r="1520" spans="1:14">
      <c r="A1520">
        <v>7885</v>
      </c>
      <c r="B1520" t="s">
        <v>1023</v>
      </c>
      <c r="C1520" t="s">
        <v>756</v>
      </c>
      <c r="E1520">
        <v>531141</v>
      </c>
      <c r="G1520" s="2">
        <v>0.32708333333333334</v>
      </c>
      <c r="H1520" s="2">
        <v>0.33333333333333331</v>
      </c>
      <c r="J1520">
        <v>0.140409162918646</v>
      </c>
      <c r="K1520" t="s">
        <v>798</v>
      </c>
      <c r="L1520" t="str">
        <f t="shared" si="69"/>
        <v>33</v>
      </c>
      <c r="M1520">
        <f t="shared" si="70"/>
        <v>0</v>
      </c>
      <c r="N1520">
        <f t="shared" si="71"/>
        <v>0</v>
      </c>
    </row>
    <row r="1521" spans="1:14">
      <c r="A1521">
        <v>7885</v>
      </c>
      <c r="B1521" t="s">
        <v>1023</v>
      </c>
      <c r="C1521" t="s">
        <v>756</v>
      </c>
      <c r="E1521">
        <v>531141</v>
      </c>
      <c r="G1521" s="2">
        <v>0.33333333333333331</v>
      </c>
      <c r="H1521" s="2">
        <v>0.35833333333333334</v>
      </c>
      <c r="J1521">
        <v>0.56163665167458499</v>
      </c>
      <c r="K1521" t="s">
        <v>813</v>
      </c>
      <c r="L1521" t="str">
        <f t="shared" si="69"/>
        <v>33</v>
      </c>
      <c r="M1521">
        <f t="shared" si="70"/>
        <v>0</v>
      </c>
      <c r="N1521">
        <f t="shared" si="71"/>
        <v>0</v>
      </c>
    </row>
    <row r="1522" spans="1:14">
      <c r="A1522">
        <v>7885</v>
      </c>
      <c r="B1522" t="s">
        <v>1023</v>
      </c>
      <c r="C1522" t="s">
        <v>756</v>
      </c>
      <c r="E1522">
        <v>531141</v>
      </c>
      <c r="G1522" s="2">
        <v>0.35833333333333334</v>
      </c>
      <c r="H1522" s="2">
        <v>0.3756944444444445</v>
      </c>
      <c r="J1522">
        <v>0.39002545255179499</v>
      </c>
      <c r="K1522" t="s">
        <v>798</v>
      </c>
      <c r="L1522" t="str">
        <f t="shared" si="69"/>
        <v>33</v>
      </c>
      <c r="M1522">
        <f t="shared" si="70"/>
        <v>0</v>
      </c>
      <c r="N1522">
        <f t="shared" si="71"/>
        <v>0</v>
      </c>
    </row>
    <row r="1523" spans="1:14">
      <c r="A1523">
        <v>7885</v>
      </c>
      <c r="B1523" t="s">
        <v>1023</v>
      </c>
      <c r="C1523" t="s">
        <v>756</v>
      </c>
      <c r="E1523">
        <v>531141</v>
      </c>
      <c r="G1523" s="2">
        <v>0.3756944444444445</v>
      </c>
      <c r="H1523" s="2">
        <v>0.38263888888888892</v>
      </c>
      <c r="J1523">
        <v>0.15601018102071801</v>
      </c>
      <c r="K1523" t="s">
        <v>813</v>
      </c>
      <c r="L1523" t="str">
        <f t="shared" si="69"/>
        <v>33</v>
      </c>
      <c r="M1523">
        <f t="shared" si="70"/>
        <v>0</v>
      </c>
      <c r="N1523">
        <f t="shared" si="71"/>
        <v>0</v>
      </c>
    </row>
    <row r="1524" spans="1:14">
      <c r="A1524">
        <v>7885</v>
      </c>
      <c r="B1524" t="s">
        <v>1023</v>
      </c>
      <c r="C1524" t="s">
        <v>756</v>
      </c>
      <c r="E1524">
        <v>531141</v>
      </c>
      <c r="G1524" s="2">
        <v>0.38263888888888892</v>
      </c>
      <c r="H1524" s="2">
        <v>0.38611111111111113</v>
      </c>
      <c r="J1524">
        <v>7.8005090510359004E-2</v>
      </c>
      <c r="K1524" t="s">
        <v>798</v>
      </c>
      <c r="L1524" t="str">
        <f t="shared" si="69"/>
        <v>33</v>
      </c>
      <c r="M1524">
        <f t="shared" si="70"/>
        <v>0</v>
      </c>
      <c r="N1524">
        <f t="shared" si="71"/>
        <v>0</v>
      </c>
    </row>
    <row r="1525" spans="1:14">
      <c r="A1525">
        <v>7885</v>
      </c>
      <c r="B1525" t="s">
        <v>1023</v>
      </c>
      <c r="C1525" t="s">
        <v>756</v>
      </c>
      <c r="E1525">
        <v>531141</v>
      </c>
      <c r="G1525" s="2">
        <v>0.38611111111111113</v>
      </c>
      <c r="H1525" s="2">
        <v>0.39652777777777781</v>
      </c>
      <c r="J1525">
        <v>0.23401527153107701</v>
      </c>
      <c r="K1525" t="s">
        <v>813</v>
      </c>
      <c r="L1525" t="str">
        <f t="shared" si="69"/>
        <v>33</v>
      </c>
      <c r="M1525">
        <f t="shared" si="70"/>
        <v>0</v>
      </c>
      <c r="N1525">
        <f t="shared" si="71"/>
        <v>0</v>
      </c>
    </row>
    <row r="1526" spans="1:14">
      <c r="A1526">
        <v>7885</v>
      </c>
      <c r="B1526" t="s">
        <v>1023</v>
      </c>
      <c r="C1526" t="s">
        <v>756</v>
      </c>
      <c r="E1526">
        <v>531141</v>
      </c>
      <c r="G1526" s="2">
        <v>0.39652777777777781</v>
      </c>
      <c r="H1526" s="2">
        <v>0.4</v>
      </c>
      <c r="J1526">
        <v>7.8005090510359004E-2</v>
      </c>
      <c r="K1526" t="s">
        <v>798</v>
      </c>
      <c r="L1526" t="str">
        <f t="shared" si="69"/>
        <v>33</v>
      </c>
      <c r="M1526">
        <f t="shared" si="70"/>
        <v>0</v>
      </c>
      <c r="N1526">
        <f t="shared" si="71"/>
        <v>0</v>
      </c>
    </row>
    <row r="1527" spans="1:14">
      <c r="A1527">
        <v>7885</v>
      </c>
      <c r="B1527" t="s">
        <v>1023</v>
      </c>
      <c r="C1527" t="s">
        <v>756</v>
      </c>
      <c r="E1527">
        <v>531141</v>
      </c>
      <c r="G1527" s="2">
        <v>0.4</v>
      </c>
      <c r="H1527" s="2">
        <v>0.4604166666666667</v>
      </c>
      <c r="J1527">
        <v>1.3572885748802399</v>
      </c>
      <c r="K1527" t="s">
        <v>813</v>
      </c>
      <c r="L1527" t="str">
        <f t="shared" si="69"/>
        <v>33</v>
      </c>
      <c r="M1527">
        <f t="shared" si="70"/>
        <v>0</v>
      </c>
      <c r="N1527">
        <f t="shared" si="71"/>
        <v>0</v>
      </c>
    </row>
    <row r="1528" spans="1:14">
      <c r="A1528">
        <v>7885</v>
      </c>
      <c r="B1528" t="s">
        <v>1023</v>
      </c>
      <c r="C1528" t="s">
        <v>756</v>
      </c>
      <c r="E1528">
        <v>531141</v>
      </c>
      <c r="G1528" s="2">
        <v>0.4604166666666667</v>
      </c>
      <c r="H1528" s="2">
        <v>0.46597222222222223</v>
      </c>
      <c r="J1528">
        <v>0.124808144816574</v>
      </c>
      <c r="K1528" t="s">
        <v>764</v>
      </c>
      <c r="L1528" t="str">
        <f t="shared" si="69"/>
        <v>33</v>
      </c>
      <c r="M1528">
        <f t="shared" si="70"/>
        <v>0</v>
      </c>
      <c r="N1528">
        <f t="shared" si="71"/>
        <v>0</v>
      </c>
    </row>
    <row r="1529" spans="1:14">
      <c r="A1529">
        <v>7885</v>
      </c>
      <c r="B1529" t="s">
        <v>1023</v>
      </c>
      <c r="C1529" t="s">
        <v>756</v>
      </c>
      <c r="E1529">
        <v>531141</v>
      </c>
      <c r="G1529" s="2">
        <v>0.46597222222222223</v>
      </c>
      <c r="H1529" s="2">
        <v>0.625</v>
      </c>
      <c r="J1529">
        <v>3.57263314537445</v>
      </c>
      <c r="K1529" t="s">
        <v>759</v>
      </c>
      <c r="L1529" t="str">
        <f t="shared" si="69"/>
        <v>33</v>
      </c>
      <c r="M1529">
        <f t="shared" si="70"/>
        <v>0</v>
      </c>
      <c r="N1529">
        <f t="shared" si="71"/>
        <v>0</v>
      </c>
    </row>
    <row r="1530" spans="1:14">
      <c r="A1530">
        <v>7571</v>
      </c>
      <c r="B1530" t="s">
        <v>1024</v>
      </c>
      <c r="C1530" t="s">
        <v>755</v>
      </c>
      <c r="D1530" t="s">
        <v>757</v>
      </c>
      <c r="E1530">
        <v>139147</v>
      </c>
      <c r="G1530" s="2">
        <v>0.20833333333333334</v>
      </c>
      <c r="H1530" s="2">
        <v>0.3756944444444445</v>
      </c>
      <c r="J1530">
        <v>3.765625</v>
      </c>
      <c r="K1530" t="s">
        <v>758</v>
      </c>
      <c r="L1530" t="str">
        <f t="shared" si="69"/>
        <v>33</v>
      </c>
      <c r="M1530">
        <f t="shared" si="70"/>
        <v>0</v>
      </c>
      <c r="N1530">
        <f t="shared" si="71"/>
        <v>0</v>
      </c>
    </row>
    <row r="1531" spans="1:14">
      <c r="A1531">
        <v>7571</v>
      </c>
      <c r="B1531" t="s">
        <v>1024</v>
      </c>
      <c r="C1531" t="s">
        <v>755</v>
      </c>
      <c r="D1531" t="s">
        <v>757</v>
      </c>
      <c r="E1531">
        <v>139147</v>
      </c>
      <c r="G1531" s="2">
        <v>0.3756944444444445</v>
      </c>
      <c r="H1531" s="2">
        <v>0.44930555555555557</v>
      </c>
      <c r="J1531">
        <v>1.65625</v>
      </c>
      <c r="K1531" t="s">
        <v>759</v>
      </c>
      <c r="L1531" t="str">
        <f t="shared" si="69"/>
        <v>33</v>
      </c>
      <c r="M1531">
        <f t="shared" si="70"/>
        <v>0</v>
      </c>
      <c r="N1531">
        <f t="shared" si="71"/>
        <v>0</v>
      </c>
    </row>
    <row r="1532" spans="1:14">
      <c r="A1532">
        <v>7571</v>
      </c>
      <c r="B1532" t="s">
        <v>1024</v>
      </c>
      <c r="C1532" t="s">
        <v>755</v>
      </c>
      <c r="D1532" t="s">
        <v>757</v>
      </c>
      <c r="E1532">
        <v>139147</v>
      </c>
      <c r="G1532" s="2">
        <v>0.44930555555555557</v>
      </c>
      <c r="H1532" s="2">
        <v>0.48402777777777778</v>
      </c>
      <c r="J1532">
        <v>0.781249999999999</v>
      </c>
      <c r="K1532" t="s">
        <v>763</v>
      </c>
      <c r="L1532" t="str">
        <f t="shared" si="69"/>
        <v>33</v>
      </c>
      <c r="M1532">
        <f t="shared" si="70"/>
        <v>0</v>
      </c>
      <c r="N1532">
        <f t="shared" si="71"/>
        <v>0</v>
      </c>
    </row>
    <row r="1533" spans="1:14">
      <c r="A1533">
        <v>7571</v>
      </c>
      <c r="B1533" t="s">
        <v>1024</v>
      </c>
      <c r="C1533" t="s">
        <v>755</v>
      </c>
      <c r="D1533" t="s">
        <v>757</v>
      </c>
      <c r="E1533">
        <v>139147</v>
      </c>
      <c r="G1533" s="2">
        <v>0.48402777777777778</v>
      </c>
      <c r="H1533" s="2">
        <v>0.54166666666666663</v>
      </c>
      <c r="J1533">
        <v>1.29687499999999</v>
      </c>
      <c r="K1533" t="s">
        <v>759</v>
      </c>
      <c r="L1533" t="str">
        <f t="shared" si="69"/>
        <v>33</v>
      </c>
      <c r="M1533">
        <f t="shared" si="70"/>
        <v>0</v>
      </c>
      <c r="N1533">
        <f t="shared" si="71"/>
        <v>0</v>
      </c>
    </row>
    <row r="1534" spans="1:14">
      <c r="A1534">
        <v>7854</v>
      </c>
      <c r="B1534" t="s">
        <v>1025</v>
      </c>
      <c r="C1534" t="s">
        <v>754</v>
      </c>
      <c r="D1534" t="s">
        <v>757</v>
      </c>
      <c r="E1534">
        <v>518485</v>
      </c>
      <c r="G1534" s="2">
        <v>0.21458333333333335</v>
      </c>
      <c r="H1534" s="2">
        <v>0.21597222222222223</v>
      </c>
      <c r="J1534">
        <v>3.1319716373023998E-2</v>
      </c>
      <c r="K1534" t="s">
        <v>843</v>
      </c>
      <c r="L1534" t="str">
        <f t="shared" si="69"/>
        <v>33</v>
      </c>
      <c r="M1534">
        <f t="shared" si="70"/>
        <v>0</v>
      </c>
      <c r="N1534">
        <f t="shared" si="71"/>
        <v>0</v>
      </c>
    </row>
    <row r="1535" spans="1:14">
      <c r="A1535">
        <v>7854</v>
      </c>
      <c r="B1535" t="s">
        <v>1025</v>
      </c>
      <c r="C1535" t="s">
        <v>754</v>
      </c>
      <c r="D1535" t="s">
        <v>757</v>
      </c>
      <c r="E1535">
        <v>518485</v>
      </c>
      <c r="G1535" s="2">
        <v>0.21597222222222223</v>
      </c>
      <c r="H1535" s="2">
        <v>0.21944444444444444</v>
      </c>
      <c r="J1535">
        <v>7.8299290932559995E-2</v>
      </c>
      <c r="K1535" t="s">
        <v>842</v>
      </c>
      <c r="L1535" t="str">
        <f t="shared" si="69"/>
        <v>33</v>
      </c>
      <c r="M1535">
        <f t="shared" si="70"/>
        <v>0</v>
      </c>
      <c r="N1535">
        <f t="shared" si="71"/>
        <v>0</v>
      </c>
    </row>
    <row r="1536" spans="1:14">
      <c r="A1536">
        <v>7854</v>
      </c>
      <c r="B1536" t="s">
        <v>1025</v>
      </c>
      <c r="C1536" t="s">
        <v>754</v>
      </c>
      <c r="D1536" t="s">
        <v>757</v>
      </c>
      <c r="E1536">
        <v>518485</v>
      </c>
      <c r="G1536" s="2">
        <v>0.21944444444444444</v>
      </c>
      <c r="H1536" s="2">
        <v>0.34027777777777773</v>
      </c>
      <c r="J1536">
        <v>2.7248153244530902</v>
      </c>
      <c r="K1536" t="s">
        <v>843</v>
      </c>
      <c r="L1536" t="str">
        <f t="shared" si="69"/>
        <v>33</v>
      </c>
      <c r="M1536">
        <f t="shared" si="70"/>
        <v>0</v>
      </c>
      <c r="N1536">
        <f t="shared" si="71"/>
        <v>0</v>
      </c>
    </row>
    <row r="1537" spans="1:14">
      <c r="A1537">
        <v>7854</v>
      </c>
      <c r="B1537" t="s">
        <v>1025</v>
      </c>
      <c r="C1537" t="s">
        <v>754</v>
      </c>
      <c r="D1537" t="s">
        <v>757</v>
      </c>
      <c r="E1537">
        <v>518485</v>
      </c>
      <c r="G1537" s="2">
        <v>0.34027777777777773</v>
      </c>
      <c r="H1537" s="2">
        <v>0.37708333333333338</v>
      </c>
      <c r="J1537">
        <v>0.829972483885136</v>
      </c>
      <c r="K1537" t="s">
        <v>842</v>
      </c>
      <c r="L1537" t="str">
        <f t="shared" si="69"/>
        <v>33</v>
      </c>
      <c r="M1537">
        <f t="shared" si="70"/>
        <v>0</v>
      </c>
      <c r="N1537">
        <f t="shared" si="71"/>
        <v>0</v>
      </c>
    </row>
    <row r="1538" spans="1:14">
      <c r="A1538">
        <v>7854</v>
      </c>
      <c r="B1538" t="s">
        <v>1025</v>
      </c>
      <c r="C1538" t="s">
        <v>754</v>
      </c>
      <c r="D1538" t="s">
        <v>757</v>
      </c>
      <c r="E1538">
        <v>518485</v>
      </c>
      <c r="G1538" s="2">
        <v>0.37708333333333338</v>
      </c>
      <c r="H1538" s="2">
        <v>0.38750000000000001</v>
      </c>
      <c r="J1538">
        <v>0.23489787279768001</v>
      </c>
      <c r="K1538" t="s">
        <v>843</v>
      </c>
      <c r="L1538" t="str">
        <f t="shared" ref="L1538:L1601" si="72">RIGHT(LEFT(K1538,4),2)</f>
        <v>33</v>
      </c>
      <c r="M1538">
        <f t="shared" ref="M1538:M1601" si="73">IF(I1538=0,0,I1538-H1538)+IF(F1538=0,0,G1538-F1538)</f>
        <v>0</v>
      </c>
      <c r="N1538">
        <f t="shared" ref="N1538:N1601" si="74">(M1538-INT(M1538))*24</f>
        <v>0</v>
      </c>
    </row>
    <row r="1539" spans="1:14">
      <c r="A1539">
        <v>7854</v>
      </c>
      <c r="B1539" t="s">
        <v>1025</v>
      </c>
      <c r="C1539" t="s">
        <v>754</v>
      </c>
      <c r="D1539" t="s">
        <v>757</v>
      </c>
      <c r="E1539">
        <v>518485</v>
      </c>
      <c r="G1539" s="2">
        <v>0.38750000000000001</v>
      </c>
      <c r="H1539" s="2">
        <v>0.5625</v>
      </c>
      <c r="J1539">
        <v>3.94628426300102</v>
      </c>
      <c r="K1539" t="s">
        <v>759</v>
      </c>
      <c r="L1539" t="str">
        <f t="shared" si="72"/>
        <v>33</v>
      </c>
      <c r="M1539">
        <f t="shared" si="73"/>
        <v>0</v>
      </c>
      <c r="N1539">
        <f t="shared" si="74"/>
        <v>0</v>
      </c>
    </row>
    <row r="1540" spans="1:14">
      <c r="A1540">
        <v>7212</v>
      </c>
      <c r="B1540" t="s">
        <v>1026</v>
      </c>
      <c r="C1540" t="s">
        <v>754</v>
      </c>
      <c r="D1540" t="s">
        <v>805</v>
      </c>
      <c r="E1540">
        <v>22054</v>
      </c>
      <c r="G1540" s="2">
        <v>0.16111111111111112</v>
      </c>
      <c r="H1540" s="2">
        <v>0.36805555555555558</v>
      </c>
      <c r="J1540">
        <v>4.6587470276068998</v>
      </c>
      <c r="K1540" t="s">
        <v>930</v>
      </c>
      <c r="L1540" t="str">
        <f t="shared" si="72"/>
        <v>33</v>
      </c>
      <c r="M1540">
        <f t="shared" si="73"/>
        <v>0</v>
      </c>
      <c r="N1540">
        <f t="shared" si="74"/>
        <v>0</v>
      </c>
    </row>
    <row r="1541" spans="1:14">
      <c r="A1541">
        <v>7212</v>
      </c>
      <c r="B1541" t="s">
        <v>1026</v>
      </c>
      <c r="C1541" t="s">
        <v>754</v>
      </c>
      <c r="D1541" t="s">
        <v>805</v>
      </c>
      <c r="E1541">
        <v>22054</v>
      </c>
      <c r="G1541" s="2">
        <v>0.36805555555555558</v>
      </c>
      <c r="H1541" s="2">
        <v>0.5</v>
      </c>
      <c r="J1541">
        <v>2.9703420645815801</v>
      </c>
      <c r="K1541" t="s">
        <v>759</v>
      </c>
      <c r="L1541" t="str">
        <f t="shared" si="72"/>
        <v>33</v>
      </c>
      <c r="M1541">
        <f t="shared" si="73"/>
        <v>0</v>
      </c>
      <c r="N1541">
        <f t="shared" si="74"/>
        <v>0</v>
      </c>
    </row>
    <row r="1542" spans="1:14">
      <c r="A1542">
        <v>4074</v>
      </c>
      <c r="B1542" t="s">
        <v>1027</v>
      </c>
      <c r="C1542" t="s">
        <v>754</v>
      </c>
      <c r="D1542" t="s">
        <v>795</v>
      </c>
      <c r="E1542">
        <v>908744</v>
      </c>
      <c r="G1542" s="2">
        <v>0.83888888888888891</v>
      </c>
      <c r="H1542" s="2">
        <v>0.84375</v>
      </c>
      <c r="J1542">
        <v>0.108953994382897</v>
      </c>
      <c r="K1542" t="s">
        <v>767</v>
      </c>
      <c r="L1542" t="str">
        <f t="shared" si="72"/>
        <v>37</v>
      </c>
      <c r="M1542">
        <f t="shared" si="73"/>
        <v>0</v>
      </c>
      <c r="N1542">
        <f t="shared" si="74"/>
        <v>0</v>
      </c>
    </row>
    <row r="1543" spans="1:14">
      <c r="A1543">
        <v>4074</v>
      </c>
      <c r="B1543" t="s">
        <v>1027</v>
      </c>
      <c r="C1543" t="s">
        <v>754</v>
      </c>
      <c r="D1543" t="s">
        <v>795</v>
      </c>
      <c r="E1543">
        <v>908744</v>
      </c>
      <c r="G1543" s="2">
        <v>0.84375</v>
      </c>
      <c r="H1543" s="2">
        <v>0.8652777777777777</v>
      </c>
      <c r="J1543">
        <v>0.48251054655282899</v>
      </c>
      <c r="K1543" t="s">
        <v>827</v>
      </c>
      <c r="L1543" t="str">
        <f t="shared" si="72"/>
        <v>37</v>
      </c>
      <c r="M1543">
        <f t="shared" si="73"/>
        <v>0</v>
      </c>
      <c r="N1543">
        <f t="shared" si="74"/>
        <v>0</v>
      </c>
    </row>
    <row r="1544" spans="1:14">
      <c r="A1544">
        <v>4074</v>
      </c>
      <c r="B1544" t="s">
        <v>1027</v>
      </c>
      <c r="C1544" t="s">
        <v>754</v>
      </c>
      <c r="D1544" t="s">
        <v>795</v>
      </c>
      <c r="E1544">
        <v>908744</v>
      </c>
      <c r="G1544" s="2">
        <v>0.8652777777777777</v>
      </c>
      <c r="H1544" s="2">
        <v>0.875</v>
      </c>
      <c r="J1544">
        <v>0.21790798876579301</v>
      </c>
      <c r="K1544" t="s">
        <v>796</v>
      </c>
      <c r="L1544" t="str">
        <f t="shared" si="72"/>
        <v>37</v>
      </c>
      <c r="M1544">
        <f t="shared" si="73"/>
        <v>0</v>
      </c>
      <c r="N1544">
        <f t="shared" si="74"/>
        <v>0</v>
      </c>
    </row>
    <row r="1545" spans="1:14">
      <c r="A1545">
        <v>4074</v>
      </c>
      <c r="B1545" t="s">
        <v>1027</v>
      </c>
      <c r="C1545" t="s">
        <v>754</v>
      </c>
      <c r="D1545" t="s">
        <v>795</v>
      </c>
      <c r="E1545">
        <v>908744</v>
      </c>
      <c r="G1545" s="2">
        <v>0.875</v>
      </c>
      <c r="H1545" s="2">
        <v>0.88611111111111107</v>
      </c>
      <c r="J1545">
        <v>0.24903770144662099</v>
      </c>
      <c r="K1545" t="s">
        <v>827</v>
      </c>
      <c r="L1545" t="str">
        <f t="shared" si="72"/>
        <v>37</v>
      </c>
      <c r="M1545">
        <f t="shared" si="73"/>
        <v>0</v>
      </c>
      <c r="N1545">
        <f t="shared" si="74"/>
        <v>0</v>
      </c>
    </row>
    <row r="1546" spans="1:14">
      <c r="A1546">
        <v>4074</v>
      </c>
      <c r="B1546" t="s">
        <v>1027</v>
      </c>
      <c r="C1546" t="s">
        <v>754</v>
      </c>
      <c r="D1546" t="s">
        <v>795</v>
      </c>
      <c r="E1546">
        <v>908744</v>
      </c>
      <c r="G1546" s="2">
        <v>0.88611111111111107</v>
      </c>
      <c r="H1546" s="2">
        <v>0.89236111111111116</v>
      </c>
      <c r="J1546">
        <v>0.140083707063724</v>
      </c>
      <c r="K1546" t="s">
        <v>796</v>
      </c>
      <c r="L1546" t="str">
        <f t="shared" si="72"/>
        <v>37</v>
      </c>
      <c r="M1546">
        <f t="shared" si="73"/>
        <v>0</v>
      </c>
      <c r="N1546">
        <f t="shared" si="74"/>
        <v>0</v>
      </c>
    </row>
    <row r="1547" spans="1:14">
      <c r="A1547">
        <v>4074</v>
      </c>
      <c r="B1547" t="s">
        <v>1027</v>
      </c>
      <c r="C1547" t="s">
        <v>754</v>
      </c>
      <c r="D1547" t="s">
        <v>795</v>
      </c>
      <c r="E1547">
        <v>908744</v>
      </c>
      <c r="G1547" s="2">
        <v>0.89236111111111116</v>
      </c>
      <c r="H1547" s="2">
        <v>0.91041666666666676</v>
      </c>
      <c r="J1547">
        <v>0.40468626485075898</v>
      </c>
      <c r="K1547" t="s">
        <v>827</v>
      </c>
      <c r="L1547" t="str">
        <f t="shared" si="72"/>
        <v>37</v>
      </c>
      <c r="M1547">
        <f t="shared" si="73"/>
        <v>0</v>
      </c>
      <c r="N1547">
        <f t="shared" si="74"/>
        <v>0</v>
      </c>
    </row>
    <row r="1548" spans="1:14">
      <c r="A1548">
        <v>4074</v>
      </c>
      <c r="B1548" t="s">
        <v>1027</v>
      </c>
      <c r="C1548" t="s">
        <v>754</v>
      </c>
      <c r="D1548" t="s">
        <v>795</v>
      </c>
      <c r="E1548">
        <v>908744</v>
      </c>
      <c r="G1548" s="2">
        <v>0.91041666666666676</v>
      </c>
      <c r="H1548" s="2">
        <v>0.9243055555555556</v>
      </c>
      <c r="J1548">
        <v>0.31129712680827598</v>
      </c>
      <c r="K1548" t="s">
        <v>796</v>
      </c>
      <c r="L1548" t="str">
        <f t="shared" si="72"/>
        <v>37</v>
      </c>
      <c r="M1548">
        <f t="shared" si="73"/>
        <v>0</v>
      </c>
      <c r="N1548">
        <f t="shared" si="74"/>
        <v>0</v>
      </c>
    </row>
    <row r="1549" spans="1:14">
      <c r="A1549">
        <v>4074</v>
      </c>
      <c r="B1549" t="s">
        <v>1027</v>
      </c>
      <c r="C1549" t="s">
        <v>754</v>
      </c>
      <c r="D1549" t="s">
        <v>795</v>
      </c>
      <c r="E1549">
        <v>908744</v>
      </c>
      <c r="G1549" s="2">
        <v>0.9243055555555556</v>
      </c>
      <c r="H1549" s="2">
        <v>0.9555555555555556</v>
      </c>
      <c r="J1549">
        <v>0.70041853531862197</v>
      </c>
      <c r="K1549" t="s">
        <v>827</v>
      </c>
      <c r="L1549" t="str">
        <f t="shared" si="72"/>
        <v>37</v>
      </c>
      <c r="M1549">
        <f t="shared" si="73"/>
        <v>0</v>
      </c>
      <c r="N1549">
        <f t="shared" si="74"/>
        <v>0</v>
      </c>
    </row>
    <row r="1550" spans="1:14">
      <c r="A1550">
        <v>4074</v>
      </c>
      <c r="B1550" t="s">
        <v>1027</v>
      </c>
      <c r="C1550" t="s">
        <v>754</v>
      </c>
      <c r="D1550" t="s">
        <v>795</v>
      </c>
      <c r="E1550">
        <v>908744</v>
      </c>
      <c r="G1550" s="2">
        <v>0.9555555555555556</v>
      </c>
      <c r="H1550" s="2">
        <v>0.11388888888888889</v>
      </c>
      <c r="J1550">
        <v>3.5487872456143501</v>
      </c>
      <c r="K1550" t="s">
        <v>796</v>
      </c>
      <c r="L1550" t="str">
        <f t="shared" si="72"/>
        <v>37</v>
      </c>
      <c r="M1550">
        <f t="shared" si="73"/>
        <v>0</v>
      </c>
      <c r="N1550">
        <f t="shared" si="74"/>
        <v>0</v>
      </c>
    </row>
    <row r="1551" spans="1:14">
      <c r="A1551">
        <v>4074</v>
      </c>
      <c r="B1551" t="s">
        <v>1027</v>
      </c>
      <c r="C1551" t="s">
        <v>754</v>
      </c>
      <c r="D1551" t="s">
        <v>795</v>
      </c>
      <c r="E1551">
        <v>908744</v>
      </c>
      <c r="G1551" s="2">
        <v>0.11388888888888889</v>
      </c>
      <c r="H1551" s="2">
        <v>0.11458333333333333</v>
      </c>
      <c r="J1551">
        <v>1.55648563404138E-2</v>
      </c>
      <c r="K1551" t="s">
        <v>797</v>
      </c>
      <c r="L1551" t="str">
        <f t="shared" si="72"/>
        <v>37</v>
      </c>
      <c r="M1551">
        <f t="shared" si="73"/>
        <v>0</v>
      </c>
      <c r="N1551">
        <f t="shared" si="74"/>
        <v>0</v>
      </c>
    </row>
    <row r="1552" spans="1:14">
      <c r="A1552">
        <v>4074</v>
      </c>
      <c r="B1552" t="s">
        <v>1027</v>
      </c>
      <c r="C1552" t="s">
        <v>754</v>
      </c>
      <c r="D1552" t="s">
        <v>795</v>
      </c>
      <c r="E1552">
        <v>908744</v>
      </c>
      <c r="G1552" s="2">
        <v>0.11458333333333333</v>
      </c>
      <c r="H1552" s="2">
        <v>0.11527777777777777</v>
      </c>
      <c r="J1552">
        <v>1.55648563404138E-2</v>
      </c>
      <c r="K1552" t="s">
        <v>796</v>
      </c>
      <c r="L1552" t="str">
        <f t="shared" si="72"/>
        <v>37</v>
      </c>
      <c r="M1552">
        <f t="shared" si="73"/>
        <v>0</v>
      </c>
      <c r="N1552">
        <f t="shared" si="74"/>
        <v>0</v>
      </c>
    </row>
    <row r="1553" spans="1:14">
      <c r="A1553">
        <v>4074</v>
      </c>
      <c r="B1553" t="s">
        <v>1027</v>
      </c>
      <c r="C1553" t="s">
        <v>754</v>
      </c>
      <c r="D1553" t="s">
        <v>795</v>
      </c>
      <c r="E1553">
        <v>908744</v>
      </c>
      <c r="G1553" s="2">
        <v>0.11527777777777777</v>
      </c>
      <c r="H1553" s="2">
        <v>0.14583333333333334</v>
      </c>
      <c r="J1553">
        <v>0.68485367897820804</v>
      </c>
      <c r="K1553" t="s">
        <v>797</v>
      </c>
      <c r="L1553" t="str">
        <f t="shared" si="72"/>
        <v>37</v>
      </c>
      <c r="M1553">
        <f t="shared" si="73"/>
        <v>0</v>
      </c>
      <c r="N1553">
        <f t="shared" si="74"/>
        <v>0</v>
      </c>
    </row>
    <row r="1554" spans="1:14">
      <c r="A1554">
        <v>7680</v>
      </c>
      <c r="B1554" t="s">
        <v>1028</v>
      </c>
      <c r="C1554" t="s">
        <v>754</v>
      </c>
      <c r="D1554" t="s">
        <v>883</v>
      </c>
      <c r="E1554">
        <v>226603</v>
      </c>
      <c r="G1554" s="2">
        <v>0.37638888888888888</v>
      </c>
      <c r="H1554" s="2">
        <v>0.51736111111111105</v>
      </c>
      <c r="J1554">
        <v>3.1763149133292901</v>
      </c>
      <c r="K1554" t="s">
        <v>778</v>
      </c>
      <c r="L1554" t="str">
        <f t="shared" si="72"/>
        <v>37</v>
      </c>
      <c r="M1554">
        <f t="shared" si="73"/>
        <v>0</v>
      </c>
      <c r="N1554">
        <f t="shared" si="74"/>
        <v>0</v>
      </c>
    </row>
    <row r="1555" spans="1:14">
      <c r="A1555">
        <v>7680</v>
      </c>
      <c r="B1555" t="s">
        <v>1028</v>
      </c>
      <c r="C1555" t="s">
        <v>754</v>
      </c>
      <c r="D1555" t="s">
        <v>883</v>
      </c>
      <c r="E1555">
        <v>226603</v>
      </c>
      <c r="G1555" s="2">
        <v>0.51736111111111105</v>
      </c>
      <c r="H1555" s="2">
        <v>0.70833333333333337</v>
      </c>
      <c r="J1555">
        <v>4.3028896609140697</v>
      </c>
      <c r="K1555" t="s">
        <v>1277</v>
      </c>
      <c r="L1555" t="str">
        <f t="shared" si="72"/>
        <v>37</v>
      </c>
      <c r="M1555">
        <f t="shared" si="73"/>
        <v>0</v>
      </c>
      <c r="N1555">
        <f t="shared" si="74"/>
        <v>0</v>
      </c>
    </row>
    <row r="1556" spans="1:14">
      <c r="A1556">
        <v>7675</v>
      </c>
      <c r="B1556" t="s">
        <v>1160</v>
      </c>
      <c r="C1556" t="s">
        <v>755</v>
      </c>
      <c r="D1556" t="s">
        <v>1150</v>
      </c>
      <c r="E1556">
        <v>210208</v>
      </c>
      <c r="G1556" s="2">
        <v>0.21597222222222223</v>
      </c>
      <c r="H1556" s="2">
        <v>0.34930555555555554</v>
      </c>
      <c r="J1556">
        <v>3.1986024489795502</v>
      </c>
      <c r="K1556" t="s">
        <v>760</v>
      </c>
      <c r="L1556" t="str">
        <f t="shared" si="72"/>
        <v>33</v>
      </c>
      <c r="M1556">
        <f t="shared" si="73"/>
        <v>0</v>
      </c>
      <c r="N1556">
        <f t="shared" si="74"/>
        <v>0</v>
      </c>
    </row>
    <row r="1557" spans="1:14">
      <c r="A1557">
        <v>7675</v>
      </c>
      <c r="B1557" t="s">
        <v>1160</v>
      </c>
      <c r="C1557" t="s">
        <v>755</v>
      </c>
      <c r="D1557" t="s">
        <v>1150</v>
      </c>
      <c r="E1557">
        <v>210208</v>
      </c>
      <c r="G1557" s="2">
        <v>0.34930555555555554</v>
      </c>
      <c r="H1557" s="2">
        <v>0.3520833333333333</v>
      </c>
      <c r="J1557">
        <v>6.6637551020407304E-2</v>
      </c>
      <c r="K1557" t="s">
        <v>764</v>
      </c>
      <c r="L1557" t="str">
        <f t="shared" si="72"/>
        <v>33</v>
      </c>
      <c r="M1557">
        <f t="shared" si="73"/>
        <v>0</v>
      </c>
      <c r="N1557">
        <f t="shared" si="74"/>
        <v>0</v>
      </c>
    </row>
    <row r="1558" spans="1:14">
      <c r="A1558">
        <v>7675</v>
      </c>
      <c r="B1558" t="s">
        <v>1160</v>
      </c>
      <c r="C1558" t="s">
        <v>755</v>
      </c>
      <c r="D1558" t="s">
        <v>1150</v>
      </c>
      <c r="E1558">
        <v>210208</v>
      </c>
      <c r="G1558" s="2">
        <v>0.3520833333333333</v>
      </c>
      <c r="H1558" s="2">
        <v>0.45902777777777781</v>
      </c>
      <c r="J1558">
        <v>2.5655457142856801</v>
      </c>
      <c r="K1558" t="s">
        <v>760</v>
      </c>
      <c r="L1558" t="str">
        <f t="shared" si="72"/>
        <v>33</v>
      </c>
      <c r="M1558">
        <f t="shared" si="73"/>
        <v>0</v>
      </c>
      <c r="N1558">
        <f t="shared" si="74"/>
        <v>0</v>
      </c>
    </row>
    <row r="1559" spans="1:14">
      <c r="A1559">
        <v>7296</v>
      </c>
      <c r="B1559" t="s">
        <v>1029</v>
      </c>
      <c r="C1559" t="s">
        <v>754</v>
      </c>
      <c r="D1559" t="s">
        <v>771</v>
      </c>
      <c r="E1559">
        <v>30773</v>
      </c>
      <c r="G1559" s="2">
        <v>6.3888888888888884E-2</v>
      </c>
      <c r="H1559" s="2">
        <v>0.39583333333333331</v>
      </c>
      <c r="J1559">
        <v>7.4792045742433801</v>
      </c>
      <c r="K1559" t="s">
        <v>772</v>
      </c>
      <c r="L1559" t="str">
        <f t="shared" si="72"/>
        <v>33</v>
      </c>
      <c r="M1559">
        <f t="shared" si="73"/>
        <v>0</v>
      </c>
      <c r="N1559">
        <f t="shared" si="74"/>
        <v>0</v>
      </c>
    </row>
    <row r="1560" spans="1:14">
      <c r="A1560">
        <v>7213</v>
      </c>
      <c r="B1560" t="s">
        <v>1278</v>
      </c>
      <c r="C1560" t="s">
        <v>754</v>
      </c>
      <c r="D1560" t="s">
        <v>830</v>
      </c>
      <c r="E1560">
        <v>26288</v>
      </c>
      <c r="G1560" s="2">
        <v>0.50208333333333333</v>
      </c>
      <c r="H1560" s="2">
        <v>0.83125000000000004</v>
      </c>
      <c r="J1560">
        <v>7.8956044927000804</v>
      </c>
      <c r="K1560" t="s">
        <v>1132</v>
      </c>
      <c r="L1560" t="str">
        <f t="shared" si="72"/>
        <v>33</v>
      </c>
      <c r="M1560">
        <f t="shared" si="73"/>
        <v>0</v>
      </c>
      <c r="N1560">
        <f t="shared" si="74"/>
        <v>0</v>
      </c>
    </row>
    <row r="1561" spans="1:14">
      <c r="A1561">
        <v>7213</v>
      </c>
      <c r="B1561" t="s">
        <v>1278</v>
      </c>
      <c r="C1561" t="s">
        <v>754</v>
      </c>
      <c r="D1561" t="s">
        <v>830</v>
      </c>
      <c r="E1561">
        <v>26288</v>
      </c>
      <c r="G1561" s="2">
        <v>0.83125000000000004</v>
      </c>
      <c r="H1561" s="2">
        <v>0.85902777777777783</v>
      </c>
      <c r="J1561">
        <v>0.66629573778059703</v>
      </c>
      <c r="K1561" t="s">
        <v>759</v>
      </c>
      <c r="L1561" t="str">
        <f t="shared" si="72"/>
        <v>33</v>
      </c>
      <c r="M1561">
        <f t="shared" si="73"/>
        <v>0</v>
      </c>
      <c r="N1561">
        <f t="shared" si="74"/>
        <v>0</v>
      </c>
    </row>
    <row r="1562" spans="1:14">
      <c r="A1562">
        <v>7213</v>
      </c>
      <c r="B1562" t="s">
        <v>1278</v>
      </c>
      <c r="C1562" t="s">
        <v>754</v>
      </c>
      <c r="D1562" t="s">
        <v>830</v>
      </c>
      <c r="E1562">
        <v>26288</v>
      </c>
      <c r="G1562" s="2">
        <v>0.85902777777777783</v>
      </c>
      <c r="H1562" s="2">
        <v>0.8618055555555556</v>
      </c>
      <c r="J1562">
        <v>6.6629573778059697E-2</v>
      </c>
      <c r="K1562" t="s">
        <v>790</v>
      </c>
      <c r="L1562" t="str">
        <f t="shared" si="72"/>
        <v>46</v>
      </c>
      <c r="M1562">
        <f t="shared" si="73"/>
        <v>0</v>
      </c>
      <c r="N1562">
        <f t="shared" si="74"/>
        <v>0</v>
      </c>
    </row>
    <row r="1563" spans="1:14">
      <c r="A1563">
        <v>7213</v>
      </c>
      <c r="B1563" t="s">
        <v>1278</v>
      </c>
      <c r="C1563" t="s">
        <v>754</v>
      </c>
      <c r="D1563" t="s">
        <v>830</v>
      </c>
      <c r="E1563">
        <v>26288</v>
      </c>
      <c r="G1563" s="2">
        <v>0.8618055555555556</v>
      </c>
      <c r="H1563" s="2">
        <v>0.89583333333333337</v>
      </c>
      <c r="J1563">
        <v>0.81621227878123204</v>
      </c>
      <c r="K1563" t="s">
        <v>799</v>
      </c>
      <c r="L1563" t="str">
        <f t="shared" si="72"/>
        <v>33</v>
      </c>
      <c r="M1563">
        <f t="shared" si="73"/>
        <v>0</v>
      </c>
      <c r="N1563">
        <f t="shared" si="74"/>
        <v>0</v>
      </c>
    </row>
    <row r="1564" spans="1:14">
      <c r="A1564">
        <v>7801</v>
      </c>
      <c r="B1564" t="s">
        <v>1161</v>
      </c>
      <c r="C1564" t="s">
        <v>756</v>
      </c>
      <c r="E1564">
        <v>440619</v>
      </c>
      <c r="G1564" s="2">
        <v>0.4236111111111111</v>
      </c>
      <c r="H1564" s="2">
        <v>0.45069444444444445</v>
      </c>
      <c r="J1564">
        <v>0.60817762169283496</v>
      </c>
      <c r="K1564" t="s">
        <v>778</v>
      </c>
      <c r="L1564" t="str">
        <f t="shared" si="72"/>
        <v>37</v>
      </c>
      <c r="M1564">
        <f t="shared" si="73"/>
        <v>0</v>
      </c>
      <c r="N1564">
        <f t="shared" si="74"/>
        <v>0</v>
      </c>
    </row>
    <row r="1565" spans="1:14">
      <c r="A1565">
        <v>7801</v>
      </c>
      <c r="B1565" t="s">
        <v>1161</v>
      </c>
      <c r="C1565" t="s">
        <v>756</v>
      </c>
      <c r="E1565">
        <v>440619</v>
      </c>
      <c r="G1565" s="2">
        <v>0.45069444444444445</v>
      </c>
      <c r="H1565" s="2">
        <v>0.45277777777777778</v>
      </c>
      <c r="J1565">
        <v>4.6782893976371899E-2</v>
      </c>
      <c r="K1565" t="s">
        <v>1279</v>
      </c>
      <c r="L1565" t="str">
        <f t="shared" si="72"/>
        <v>46</v>
      </c>
      <c r="M1565">
        <f t="shared" si="73"/>
        <v>0</v>
      </c>
      <c r="N1565">
        <f t="shared" si="74"/>
        <v>0</v>
      </c>
    </row>
    <row r="1566" spans="1:14">
      <c r="A1566">
        <v>7801</v>
      </c>
      <c r="B1566" t="s">
        <v>1161</v>
      </c>
      <c r="C1566" t="s">
        <v>756</v>
      </c>
      <c r="E1566">
        <v>440619</v>
      </c>
      <c r="G1566" s="2">
        <v>0.45277777777777778</v>
      </c>
      <c r="H1566" s="2">
        <v>0.45763888888888887</v>
      </c>
      <c r="J1566">
        <v>0.10916008594486799</v>
      </c>
      <c r="K1566" t="s">
        <v>759</v>
      </c>
      <c r="L1566" t="str">
        <f t="shared" si="72"/>
        <v>33</v>
      </c>
      <c r="M1566">
        <f t="shared" si="73"/>
        <v>0</v>
      </c>
      <c r="N1566">
        <f t="shared" si="74"/>
        <v>0</v>
      </c>
    </row>
    <row r="1567" spans="1:14">
      <c r="A1567">
        <v>7801</v>
      </c>
      <c r="B1567" t="s">
        <v>1161</v>
      </c>
      <c r="C1567" t="s">
        <v>756</v>
      </c>
      <c r="E1567">
        <v>440619</v>
      </c>
      <c r="G1567" s="2">
        <v>0.45763888888888887</v>
      </c>
      <c r="H1567" s="2">
        <v>0.47986111111111113</v>
      </c>
      <c r="J1567">
        <v>0.49901753574796698</v>
      </c>
      <c r="K1567" t="s">
        <v>815</v>
      </c>
      <c r="L1567" t="str">
        <f t="shared" si="72"/>
        <v>46</v>
      </c>
      <c r="M1567">
        <f t="shared" si="73"/>
        <v>0</v>
      </c>
      <c r="N1567">
        <f t="shared" si="74"/>
        <v>0</v>
      </c>
    </row>
    <row r="1568" spans="1:14">
      <c r="A1568">
        <v>7801</v>
      </c>
      <c r="B1568" t="s">
        <v>1161</v>
      </c>
      <c r="C1568" t="s">
        <v>756</v>
      </c>
      <c r="E1568">
        <v>440619</v>
      </c>
      <c r="G1568" s="2">
        <v>0.47986111111111113</v>
      </c>
      <c r="H1568" s="2">
        <v>0.49513888888888885</v>
      </c>
      <c r="J1568">
        <v>0.34307455582672702</v>
      </c>
      <c r="K1568" t="s">
        <v>1280</v>
      </c>
      <c r="L1568" t="str">
        <f t="shared" si="72"/>
        <v>33</v>
      </c>
      <c r="M1568">
        <f t="shared" si="73"/>
        <v>0</v>
      </c>
      <c r="N1568">
        <f t="shared" si="74"/>
        <v>0</v>
      </c>
    </row>
    <row r="1569" spans="1:14">
      <c r="A1569">
        <v>7801</v>
      </c>
      <c r="B1569" t="s">
        <v>1161</v>
      </c>
      <c r="C1569" t="s">
        <v>756</v>
      </c>
      <c r="E1569">
        <v>440619</v>
      </c>
      <c r="G1569" s="2">
        <v>0.49513888888888885</v>
      </c>
      <c r="H1569" s="2">
        <v>0.65555555555555556</v>
      </c>
      <c r="J1569">
        <v>3.60228283618064</v>
      </c>
      <c r="K1569" t="s">
        <v>1280</v>
      </c>
      <c r="L1569" t="str">
        <f t="shared" si="72"/>
        <v>33</v>
      </c>
      <c r="M1569">
        <f t="shared" si="73"/>
        <v>0</v>
      </c>
      <c r="N1569">
        <f t="shared" si="74"/>
        <v>0</v>
      </c>
    </row>
    <row r="1570" spans="1:14">
      <c r="A1570">
        <v>7726</v>
      </c>
      <c r="B1570" t="s">
        <v>1030</v>
      </c>
      <c r="C1570" t="s">
        <v>754</v>
      </c>
      <c r="D1570" t="s">
        <v>1031</v>
      </c>
      <c r="E1570">
        <v>356133</v>
      </c>
      <c r="G1570" s="2">
        <v>0.30138888888888887</v>
      </c>
      <c r="H1570" s="2">
        <v>0.4291666666666667</v>
      </c>
      <c r="J1570">
        <v>2.8680984438078099</v>
      </c>
      <c r="K1570" t="s">
        <v>759</v>
      </c>
      <c r="L1570" t="str">
        <f t="shared" si="72"/>
        <v>33</v>
      </c>
      <c r="M1570">
        <f t="shared" si="73"/>
        <v>0</v>
      </c>
      <c r="N1570">
        <f t="shared" si="74"/>
        <v>0</v>
      </c>
    </row>
    <row r="1571" spans="1:14">
      <c r="A1571">
        <v>7726</v>
      </c>
      <c r="B1571" t="s">
        <v>1030</v>
      </c>
      <c r="C1571" t="s">
        <v>754</v>
      </c>
      <c r="D1571" t="s">
        <v>1031</v>
      </c>
      <c r="E1571">
        <v>356133</v>
      </c>
      <c r="G1571" s="2">
        <v>0.4291666666666667</v>
      </c>
      <c r="H1571" s="2">
        <v>0.62569444444444444</v>
      </c>
      <c r="J1571">
        <v>4.4112601065087604</v>
      </c>
      <c r="K1571" t="s">
        <v>842</v>
      </c>
      <c r="L1571" t="str">
        <f t="shared" si="72"/>
        <v>33</v>
      </c>
      <c r="M1571">
        <f t="shared" si="73"/>
        <v>0</v>
      </c>
      <c r="N1571">
        <f t="shared" si="74"/>
        <v>0</v>
      </c>
    </row>
    <row r="1572" spans="1:14">
      <c r="A1572">
        <v>7214</v>
      </c>
      <c r="B1572" t="s">
        <v>1032</v>
      </c>
      <c r="C1572" t="s">
        <v>754</v>
      </c>
      <c r="D1572" t="s">
        <v>841</v>
      </c>
      <c r="E1572">
        <v>313435</v>
      </c>
      <c r="G1572" s="2">
        <v>0.21736111111111112</v>
      </c>
      <c r="H1572" s="2">
        <v>0.30416666666666664</v>
      </c>
      <c r="J1572">
        <v>1.97568543219434</v>
      </c>
      <c r="K1572" t="s">
        <v>915</v>
      </c>
      <c r="L1572" t="str">
        <f t="shared" si="72"/>
        <v>33</v>
      </c>
      <c r="M1572">
        <f t="shared" si="73"/>
        <v>0</v>
      </c>
      <c r="N1572">
        <f t="shared" si="74"/>
        <v>0</v>
      </c>
    </row>
    <row r="1573" spans="1:14">
      <c r="A1573">
        <v>7214</v>
      </c>
      <c r="B1573" t="s">
        <v>1032</v>
      </c>
      <c r="C1573" t="s">
        <v>754</v>
      </c>
      <c r="D1573" t="s">
        <v>841</v>
      </c>
      <c r="E1573">
        <v>313435</v>
      </c>
      <c r="G1573" s="2">
        <v>0.30416666666666664</v>
      </c>
      <c r="H1573" s="2">
        <v>0.36458333333333331</v>
      </c>
      <c r="J1573">
        <v>1.37507706080726</v>
      </c>
      <c r="K1573" t="s">
        <v>833</v>
      </c>
      <c r="L1573" t="str">
        <f t="shared" si="72"/>
        <v>33</v>
      </c>
      <c r="M1573">
        <f t="shared" si="73"/>
        <v>0</v>
      </c>
      <c r="N1573">
        <f t="shared" si="74"/>
        <v>0</v>
      </c>
    </row>
    <row r="1574" spans="1:14">
      <c r="A1574">
        <v>7214</v>
      </c>
      <c r="B1574" t="s">
        <v>1032</v>
      </c>
      <c r="C1574" t="s">
        <v>754</v>
      </c>
      <c r="D1574" t="s">
        <v>841</v>
      </c>
      <c r="E1574">
        <v>313435</v>
      </c>
      <c r="G1574" s="2">
        <v>0.36458333333333331</v>
      </c>
      <c r="H1574" s="2">
        <v>0.39930555555555558</v>
      </c>
      <c r="J1574">
        <v>0.79027417287773805</v>
      </c>
      <c r="K1574" t="s">
        <v>915</v>
      </c>
      <c r="L1574" t="str">
        <f t="shared" si="72"/>
        <v>33</v>
      </c>
      <c r="M1574">
        <f t="shared" si="73"/>
        <v>0</v>
      </c>
      <c r="N1574">
        <f t="shared" si="74"/>
        <v>0</v>
      </c>
    </row>
    <row r="1575" spans="1:14">
      <c r="A1575">
        <v>7214</v>
      </c>
      <c r="B1575" t="s">
        <v>1032</v>
      </c>
      <c r="C1575" t="s">
        <v>754</v>
      </c>
      <c r="D1575" t="s">
        <v>841</v>
      </c>
      <c r="E1575">
        <v>313435</v>
      </c>
      <c r="G1575" s="2">
        <v>0.39930555555555558</v>
      </c>
      <c r="H1575" s="2">
        <v>0.43402777777777773</v>
      </c>
      <c r="J1575">
        <v>0.79027417287773805</v>
      </c>
      <c r="K1575" t="s">
        <v>833</v>
      </c>
      <c r="L1575" t="str">
        <f t="shared" si="72"/>
        <v>33</v>
      </c>
      <c r="M1575">
        <f t="shared" si="73"/>
        <v>0</v>
      </c>
      <c r="N1575">
        <f t="shared" si="74"/>
        <v>0</v>
      </c>
    </row>
    <row r="1576" spans="1:14">
      <c r="A1576">
        <v>7214</v>
      </c>
      <c r="B1576" t="s">
        <v>1032</v>
      </c>
      <c r="C1576" t="s">
        <v>754</v>
      </c>
      <c r="D1576" t="s">
        <v>841</v>
      </c>
      <c r="E1576">
        <v>313435</v>
      </c>
      <c r="G1576" s="2">
        <v>0.43402777777777773</v>
      </c>
      <c r="H1576" s="2">
        <v>0.60069444444444442</v>
      </c>
      <c r="J1576">
        <v>3.7933160298131399</v>
      </c>
      <c r="K1576" t="s">
        <v>915</v>
      </c>
      <c r="L1576" t="str">
        <f t="shared" si="72"/>
        <v>33</v>
      </c>
      <c r="M1576">
        <f t="shared" si="73"/>
        <v>0</v>
      </c>
      <c r="N1576">
        <f t="shared" si="74"/>
        <v>0</v>
      </c>
    </row>
    <row r="1577" spans="1:14">
      <c r="A1577">
        <v>7214</v>
      </c>
      <c r="B1577" t="s">
        <v>1032</v>
      </c>
      <c r="C1577" t="s">
        <v>754</v>
      </c>
      <c r="D1577" t="s">
        <v>841</v>
      </c>
      <c r="E1577">
        <v>313435</v>
      </c>
      <c r="G1577" s="2">
        <v>0.60069444444444442</v>
      </c>
      <c r="H1577" s="2">
        <v>0.61041666666666672</v>
      </c>
      <c r="J1577">
        <v>0.22127676840576599</v>
      </c>
      <c r="K1577" t="s">
        <v>833</v>
      </c>
      <c r="L1577" t="str">
        <f t="shared" si="72"/>
        <v>33</v>
      </c>
      <c r="M1577">
        <f t="shared" si="73"/>
        <v>0</v>
      </c>
      <c r="N1577">
        <f t="shared" si="74"/>
        <v>0</v>
      </c>
    </row>
    <row r="1578" spans="1:14">
      <c r="A1578">
        <v>7214</v>
      </c>
      <c r="B1578" t="s">
        <v>1032</v>
      </c>
      <c r="C1578" t="s">
        <v>754</v>
      </c>
      <c r="D1578" t="s">
        <v>841</v>
      </c>
      <c r="E1578">
        <v>313435</v>
      </c>
      <c r="G1578" s="2">
        <v>0.61041666666666672</v>
      </c>
      <c r="H1578" s="2">
        <v>0.61597222222222225</v>
      </c>
      <c r="J1578">
        <v>0.126443867660437</v>
      </c>
      <c r="K1578" t="s">
        <v>798</v>
      </c>
      <c r="L1578" t="str">
        <f t="shared" si="72"/>
        <v>33</v>
      </c>
      <c r="M1578">
        <f t="shared" si="73"/>
        <v>0</v>
      </c>
      <c r="N1578">
        <f t="shared" si="74"/>
        <v>0</v>
      </c>
    </row>
    <row r="1579" spans="1:14">
      <c r="A1579">
        <v>7214</v>
      </c>
      <c r="B1579" t="s">
        <v>1032</v>
      </c>
      <c r="C1579" t="s">
        <v>754</v>
      </c>
      <c r="D1579" t="s">
        <v>841</v>
      </c>
      <c r="E1579">
        <v>313435</v>
      </c>
      <c r="G1579" s="2">
        <v>0.61597222222222225</v>
      </c>
      <c r="H1579" s="2">
        <v>0.625</v>
      </c>
      <c r="J1579">
        <v>0.20547128494821201</v>
      </c>
      <c r="K1579" t="s">
        <v>814</v>
      </c>
      <c r="L1579" t="str">
        <f t="shared" si="72"/>
        <v>33</v>
      </c>
      <c r="M1579">
        <f t="shared" si="73"/>
        <v>0</v>
      </c>
      <c r="N1579">
        <f t="shared" si="74"/>
        <v>0</v>
      </c>
    </row>
    <row r="1580" spans="1:14">
      <c r="A1580">
        <v>7308</v>
      </c>
      <c r="B1580" t="s">
        <v>1281</v>
      </c>
      <c r="C1580" t="s">
        <v>755</v>
      </c>
      <c r="D1580" t="s">
        <v>757</v>
      </c>
      <c r="E1580">
        <v>262924</v>
      </c>
      <c r="G1580" s="2">
        <v>0.21597222222222223</v>
      </c>
      <c r="H1580" s="2">
        <v>0.37777777777777777</v>
      </c>
      <c r="J1580">
        <v>3.6412187060074501</v>
      </c>
      <c r="K1580" t="s">
        <v>801</v>
      </c>
      <c r="L1580" t="str">
        <f t="shared" si="72"/>
        <v>33</v>
      </c>
      <c r="M1580">
        <f t="shared" si="73"/>
        <v>0</v>
      </c>
      <c r="N1580">
        <f t="shared" si="74"/>
        <v>0</v>
      </c>
    </row>
    <row r="1581" spans="1:14">
      <c r="A1581">
        <v>7308</v>
      </c>
      <c r="B1581" t="s">
        <v>1281</v>
      </c>
      <c r="C1581" t="s">
        <v>755</v>
      </c>
      <c r="D1581" t="s">
        <v>757</v>
      </c>
      <c r="E1581">
        <v>262924</v>
      </c>
      <c r="G1581" s="2">
        <v>0.37777777777777777</v>
      </c>
      <c r="H1581" s="2">
        <v>0.54166666666666663</v>
      </c>
      <c r="J1581">
        <v>3.6881013502908</v>
      </c>
      <c r="K1581" t="s">
        <v>784</v>
      </c>
      <c r="L1581" t="str">
        <f t="shared" si="72"/>
        <v>33</v>
      </c>
      <c r="M1581">
        <f t="shared" si="73"/>
        <v>0</v>
      </c>
      <c r="N1581">
        <f t="shared" si="74"/>
        <v>0</v>
      </c>
    </row>
    <row r="1582" spans="1:14">
      <c r="A1582">
        <v>7560</v>
      </c>
      <c r="B1582" t="s">
        <v>1282</v>
      </c>
      <c r="C1582" t="s">
        <v>755</v>
      </c>
      <c r="D1582" t="s">
        <v>757</v>
      </c>
      <c r="E1582">
        <v>338437</v>
      </c>
      <c r="G1582" s="2">
        <v>0.2076388888888889</v>
      </c>
      <c r="H1582" s="2">
        <v>0.39027777777777778</v>
      </c>
      <c r="J1582">
        <v>4.1008316008315999</v>
      </c>
      <c r="K1582" t="s">
        <v>825</v>
      </c>
      <c r="L1582" t="str">
        <f t="shared" si="72"/>
        <v>33</v>
      </c>
      <c r="M1582">
        <f t="shared" si="73"/>
        <v>0</v>
      </c>
      <c r="N1582">
        <f t="shared" si="74"/>
        <v>0</v>
      </c>
    </row>
    <row r="1583" spans="1:14">
      <c r="A1583">
        <v>7560</v>
      </c>
      <c r="B1583" t="s">
        <v>1282</v>
      </c>
      <c r="C1583" t="s">
        <v>755</v>
      </c>
      <c r="D1583" t="s">
        <v>757</v>
      </c>
      <c r="E1583">
        <v>338437</v>
      </c>
      <c r="G1583" s="2">
        <v>0.39027777777777778</v>
      </c>
      <c r="H1583" s="2">
        <v>0.50208333333333333</v>
      </c>
      <c r="J1583">
        <v>2.5103950103949999</v>
      </c>
      <c r="K1583" t="s">
        <v>759</v>
      </c>
      <c r="L1583" t="str">
        <f t="shared" si="72"/>
        <v>33</v>
      </c>
      <c r="M1583">
        <f t="shared" si="73"/>
        <v>0</v>
      </c>
      <c r="N1583">
        <f t="shared" si="74"/>
        <v>0</v>
      </c>
    </row>
    <row r="1584" spans="1:14">
      <c r="A1584">
        <v>7560</v>
      </c>
      <c r="B1584" t="s">
        <v>1282</v>
      </c>
      <c r="C1584" t="s">
        <v>755</v>
      </c>
      <c r="D1584" t="s">
        <v>757</v>
      </c>
      <c r="E1584">
        <v>338437</v>
      </c>
      <c r="G1584" s="2">
        <v>0.50208333333333333</v>
      </c>
      <c r="H1584" s="2">
        <v>0.50277777777777777</v>
      </c>
      <c r="J1584">
        <v>1.55925155925156E-2</v>
      </c>
      <c r="K1584" t="s">
        <v>764</v>
      </c>
      <c r="L1584" t="str">
        <f t="shared" si="72"/>
        <v>33</v>
      </c>
      <c r="M1584">
        <f t="shared" si="73"/>
        <v>0</v>
      </c>
      <c r="N1584">
        <f t="shared" si="74"/>
        <v>0</v>
      </c>
    </row>
    <row r="1585" spans="1:14">
      <c r="A1585">
        <v>7560</v>
      </c>
      <c r="B1585" t="s">
        <v>1282</v>
      </c>
      <c r="C1585" t="s">
        <v>755</v>
      </c>
      <c r="D1585" t="s">
        <v>757</v>
      </c>
      <c r="E1585">
        <v>338437</v>
      </c>
      <c r="G1585" s="2">
        <v>0.50277777777777777</v>
      </c>
      <c r="H1585" s="2">
        <v>0.54166666666666663</v>
      </c>
      <c r="J1585">
        <v>0.87318087318087301</v>
      </c>
      <c r="K1585" t="s">
        <v>759</v>
      </c>
      <c r="L1585" t="str">
        <f t="shared" si="72"/>
        <v>33</v>
      </c>
      <c r="M1585">
        <f t="shared" si="73"/>
        <v>0</v>
      </c>
      <c r="N1585">
        <f t="shared" si="74"/>
        <v>0</v>
      </c>
    </row>
    <row r="1586" spans="1:14">
      <c r="A1586">
        <v>7216</v>
      </c>
      <c r="B1586" t="s">
        <v>1283</v>
      </c>
      <c r="C1586" t="s">
        <v>754</v>
      </c>
      <c r="D1586" t="s">
        <v>852</v>
      </c>
      <c r="E1586">
        <v>19638</v>
      </c>
      <c r="G1586" s="2">
        <v>6.3888888888888884E-2</v>
      </c>
      <c r="H1586" s="2">
        <v>0.24861111111111112</v>
      </c>
      <c r="J1586">
        <v>4.16206781746597</v>
      </c>
      <c r="K1586" t="s">
        <v>772</v>
      </c>
      <c r="L1586" t="str">
        <f t="shared" si="72"/>
        <v>33</v>
      </c>
      <c r="M1586">
        <f t="shared" si="73"/>
        <v>0</v>
      </c>
      <c r="N1586">
        <f t="shared" si="74"/>
        <v>0</v>
      </c>
    </row>
    <row r="1587" spans="1:14">
      <c r="A1587">
        <v>7216</v>
      </c>
      <c r="B1587" t="s">
        <v>1283</v>
      </c>
      <c r="C1587" t="s">
        <v>754</v>
      </c>
      <c r="D1587" t="s">
        <v>852</v>
      </c>
      <c r="E1587">
        <v>19638</v>
      </c>
      <c r="G1587" s="2">
        <v>0.24861111111111112</v>
      </c>
      <c r="H1587" s="2">
        <v>0.26180555555555557</v>
      </c>
      <c r="J1587">
        <v>0.29729055839042701</v>
      </c>
      <c r="K1587" t="s">
        <v>798</v>
      </c>
      <c r="L1587" t="str">
        <f t="shared" si="72"/>
        <v>33</v>
      </c>
      <c r="M1587">
        <f t="shared" si="73"/>
        <v>0</v>
      </c>
      <c r="N1587">
        <f t="shared" si="74"/>
        <v>0</v>
      </c>
    </row>
    <row r="1588" spans="1:14">
      <c r="A1588">
        <v>7216</v>
      </c>
      <c r="B1588" t="s">
        <v>1283</v>
      </c>
      <c r="C1588" t="s">
        <v>754</v>
      </c>
      <c r="D1588" t="s">
        <v>852</v>
      </c>
      <c r="E1588">
        <v>19638</v>
      </c>
      <c r="G1588" s="2">
        <v>0.26180555555555557</v>
      </c>
      <c r="H1588" s="2">
        <v>0.29097222222222224</v>
      </c>
      <c r="J1588">
        <v>0.65716860275778599</v>
      </c>
      <c r="K1588" t="s">
        <v>799</v>
      </c>
      <c r="L1588" t="str">
        <f t="shared" si="72"/>
        <v>33</v>
      </c>
      <c r="M1588">
        <f t="shared" si="73"/>
        <v>0</v>
      </c>
      <c r="N1588">
        <f t="shared" si="74"/>
        <v>0</v>
      </c>
    </row>
    <row r="1589" spans="1:14">
      <c r="A1589">
        <v>7216</v>
      </c>
      <c r="B1589" t="s">
        <v>1283</v>
      </c>
      <c r="C1589" t="s">
        <v>754</v>
      </c>
      <c r="D1589" t="s">
        <v>852</v>
      </c>
      <c r="E1589">
        <v>19638</v>
      </c>
      <c r="G1589" s="2">
        <v>0.29097222222222224</v>
      </c>
      <c r="H1589" s="2">
        <v>0.32222222222222224</v>
      </c>
      <c r="J1589">
        <v>0.70410921724048503</v>
      </c>
      <c r="K1589" t="s">
        <v>772</v>
      </c>
      <c r="L1589" t="str">
        <f t="shared" si="72"/>
        <v>33</v>
      </c>
      <c r="M1589">
        <f t="shared" si="73"/>
        <v>0</v>
      </c>
      <c r="N1589">
        <f t="shared" si="74"/>
        <v>0</v>
      </c>
    </row>
    <row r="1590" spans="1:14">
      <c r="A1590">
        <v>7216</v>
      </c>
      <c r="B1590" t="s">
        <v>1283</v>
      </c>
      <c r="C1590" t="s">
        <v>754</v>
      </c>
      <c r="D1590" t="s">
        <v>852</v>
      </c>
      <c r="E1590">
        <v>19638</v>
      </c>
      <c r="G1590" s="2">
        <v>0.32222222222222224</v>
      </c>
      <c r="H1590" s="2">
        <v>0.39583333333333331</v>
      </c>
      <c r="J1590">
        <v>1.6585683783887</v>
      </c>
      <c r="K1590" t="s">
        <v>759</v>
      </c>
      <c r="L1590" t="str">
        <f t="shared" si="72"/>
        <v>33</v>
      </c>
      <c r="M1590">
        <f t="shared" si="73"/>
        <v>0</v>
      </c>
      <c r="N1590">
        <f t="shared" si="74"/>
        <v>0</v>
      </c>
    </row>
    <row r="1591" spans="1:14">
      <c r="A1591">
        <v>7445</v>
      </c>
      <c r="B1591" t="s">
        <v>1033</v>
      </c>
      <c r="C1591" t="s">
        <v>755</v>
      </c>
      <c r="D1591" t="s">
        <v>757</v>
      </c>
      <c r="E1591">
        <v>55226</v>
      </c>
      <c r="G1591" s="2">
        <v>0.20972222222222223</v>
      </c>
      <c r="H1591" s="2">
        <v>0.54236111111111118</v>
      </c>
      <c r="J1591">
        <v>7.4792045742433801</v>
      </c>
      <c r="K1591" t="s">
        <v>889</v>
      </c>
      <c r="L1591" t="str">
        <f t="shared" si="72"/>
        <v>33</v>
      </c>
      <c r="M1591">
        <f t="shared" si="73"/>
        <v>0</v>
      </c>
      <c r="N1591">
        <f t="shared" si="74"/>
        <v>0</v>
      </c>
    </row>
    <row r="1592" spans="1:14">
      <c r="A1592">
        <v>7804</v>
      </c>
      <c r="B1592" t="s">
        <v>1284</v>
      </c>
      <c r="C1592" t="s">
        <v>755</v>
      </c>
      <c r="D1592" t="s">
        <v>757</v>
      </c>
      <c r="E1592">
        <v>440614</v>
      </c>
      <c r="G1592" s="2">
        <v>0.21111111111111111</v>
      </c>
      <c r="H1592" s="2">
        <v>0.3756944444444445</v>
      </c>
      <c r="J1592">
        <v>3.71371418251907</v>
      </c>
      <c r="K1592" t="s">
        <v>759</v>
      </c>
      <c r="L1592" t="str">
        <f t="shared" si="72"/>
        <v>33</v>
      </c>
      <c r="M1592">
        <f t="shared" si="73"/>
        <v>0</v>
      </c>
      <c r="N1592">
        <f t="shared" si="74"/>
        <v>0</v>
      </c>
    </row>
    <row r="1593" spans="1:14">
      <c r="A1593">
        <v>7804</v>
      </c>
      <c r="B1593" t="s">
        <v>1284</v>
      </c>
      <c r="C1593" t="s">
        <v>755</v>
      </c>
      <c r="D1593" t="s">
        <v>757</v>
      </c>
      <c r="E1593">
        <v>440614</v>
      </c>
      <c r="G1593" s="2">
        <v>0.3756944444444445</v>
      </c>
      <c r="H1593" s="2">
        <v>0.5625</v>
      </c>
      <c r="J1593">
        <v>4.2151439455596096</v>
      </c>
      <c r="K1593" t="s">
        <v>819</v>
      </c>
      <c r="L1593" t="str">
        <f t="shared" si="72"/>
        <v>33</v>
      </c>
      <c r="M1593">
        <f t="shared" si="73"/>
        <v>0</v>
      </c>
      <c r="N1593">
        <f t="shared" si="74"/>
        <v>0</v>
      </c>
    </row>
    <row r="1594" spans="1:14">
      <c r="A1594">
        <v>4128</v>
      </c>
      <c r="B1594" t="s">
        <v>1034</v>
      </c>
      <c r="C1594" t="s">
        <v>756</v>
      </c>
      <c r="D1594" t="s">
        <v>795</v>
      </c>
      <c r="E1594">
        <v>918572</v>
      </c>
      <c r="G1594" s="2">
        <v>0.4597222222222222</v>
      </c>
      <c r="H1594" s="2">
        <v>0.46527777777777773</v>
      </c>
      <c r="J1594">
        <v>0.12517497195386301</v>
      </c>
      <c r="K1594" t="s">
        <v>877</v>
      </c>
      <c r="L1594" t="str">
        <f t="shared" si="72"/>
        <v>46</v>
      </c>
      <c r="M1594">
        <f t="shared" si="73"/>
        <v>0</v>
      </c>
      <c r="N1594">
        <f t="shared" si="74"/>
        <v>0</v>
      </c>
    </row>
    <row r="1595" spans="1:14">
      <c r="A1595">
        <v>4128</v>
      </c>
      <c r="B1595" t="s">
        <v>1034</v>
      </c>
      <c r="C1595" t="s">
        <v>756</v>
      </c>
      <c r="D1595" t="s">
        <v>795</v>
      </c>
      <c r="E1595">
        <v>918572</v>
      </c>
      <c r="G1595" s="2">
        <v>0.46527777777777773</v>
      </c>
      <c r="H1595" s="2">
        <v>0.46597222222222223</v>
      </c>
      <c r="J1595">
        <v>1.5646871494233001E-2</v>
      </c>
      <c r="K1595" t="s">
        <v>817</v>
      </c>
      <c r="L1595" t="str">
        <f t="shared" si="72"/>
        <v>46</v>
      </c>
      <c r="M1595">
        <f t="shared" si="73"/>
        <v>0</v>
      </c>
      <c r="N1595">
        <f t="shared" si="74"/>
        <v>0</v>
      </c>
    </row>
    <row r="1596" spans="1:14">
      <c r="A1596">
        <v>4128</v>
      </c>
      <c r="B1596" t="s">
        <v>1034</v>
      </c>
      <c r="C1596" t="s">
        <v>756</v>
      </c>
      <c r="D1596" t="s">
        <v>795</v>
      </c>
      <c r="E1596">
        <v>918572</v>
      </c>
      <c r="G1596" s="2">
        <v>0.46597222222222223</v>
      </c>
      <c r="H1596" s="2">
        <v>0.46875</v>
      </c>
      <c r="J1596">
        <v>6.2587485976932006E-2</v>
      </c>
      <c r="K1596" t="s">
        <v>877</v>
      </c>
      <c r="L1596" t="str">
        <f t="shared" si="72"/>
        <v>46</v>
      </c>
      <c r="M1596">
        <f t="shared" si="73"/>
        <v>0</v>
      </c>
      <c r="N1596">
        <f t="shared" si="74"/>
        <v>0</v>
      </c>
    </row>
    <row r="1597" spans="1:14">
      <c r="A1597">
        <v>4128</v>
      </c>
      <c r="B1597" t="s">
        <v>1034</v>
      </c>
      <c r="C1597" t="s">
        <v>756</v>
      </c>
      <c r="D1597" t="s">
        <v>795</v>
      </c>
      <c r="E1597">
        <v>918572</v>
      </c>
      <c r="G1597" s="2">
        <v>0.46875</v>
      </c>
      <c r="H1597" s="2">
        <v>0.47152777777777777</v>
      </c>
      <c r="J1597">
        <v>6.2587485976932006E-2</v>
      </c>
      <c r="K1597" t="s">
        <v>817</v>
      </c>
      <c r="L1597" t="str">
        <f t="shared" si="72"/>
        <v>46</v>
      </c>
      <c r="M1597">
        <f t="shared" si="73"/>
        <v>0</v>
      </c>
      <c r="N1597">
        <f t="shared" si="74"/>
        <v>0</v>
      </c>
    </row>
    <row r="1598" spans="1:14">
      <c r="A1598">
        <v>4128</v>
      </c>
      <c r="B1598" t="s">
        <v>1034</v>
      </c>
      <c r="C1598" t="s">
        <v>756</v>
      </c>
      <c r="D1598" t="s">
        <v>795</v>
      </c>
      <c r="E1598">
        <v>918572</v>
      </c>
      <c r="G1598" s="2">
        <v>0.47152777777777777</v>
      </c>
      <c r="H1598" s="2">
        <v>0.47847222222222219</v>
      </c>
      <c r="J1598">
        <v>0.15646871494233</v>
      </c>
      <c r="K1598" t="s">
        <v>877</v>
      </c>
      <c r="L1598" t="str">
        <f t="shared" si="72"/>
        <v>46</v>
      </c>
      <c r="M1598">
        <f t="shared" si="73"/>
        <v>0</v>
      </c>
      <c r="N1598">
        <f t="shared" si="74"/>
        <v>0</v>
      </c>
    </row>
    <row r="1599" spans="1:14">
      <c r="A1599">
        <v>4128</v>
      </c>
      <c r="B1599" t="s">
        <v>1034</v>
      </c>
      <c r="C1599" t="s">
        <v>756</v>
      </c>
      <c r="D1599" t="s">
        <v>795</v>
      </c>
      <c r="E1599">
        <v>918572</v>
      </c>
      <c r="G1599" s="2">
        <v>0.47847222222222219</v>
      </c>
      <c r="H1599" s="2">
        <v>0.53194444444444444</v>
      </c>
      <c r="J1599">
        <v>1.20480910505593</v>
      </c>
      <c r="K1599" t="s">
        <v>817</v>
      </c>
      <c r="L1599" t="str">
        <f t="shared" si="72"/>
        <v>46</v>
      </c>
      <c r="M1599">
        <f t="shared" si="73"/>
        <v>0</v>
      </c>
      <c r="N1599">
        <f t="shared" si="74"/>
        <v>0</v>
      </c>
    </row>
    <row r="1600" spans="1:14">
      <c r="A1600">
        <v>4128</v>
      </c>
      <c r="B1600" t="s">
        <v>1034</v>
      </c>
      <c r="C1600" t="s">
        <v>756</v>
      </c>
      <c r="D1600" t="s">
        <v>795</v>
      </c>
      <c r="E1600">
        <v>918572</v>
      </c>
      <c r="G1600" s="2">
        <v>0.53194444444444444</v>
      </c>
      <c r="H1600" s="2">
        <v>0.53472222222222221</v>
      </c>
      <c r="J1600">
        <v>6.2587485976932006E-2</v>
      </c>
      <c r="K1600" t="s">
        <v>877</v>
      </c>
      <c r="L1600" t="str">
        <f t="shared" si="72"/>
        <v>46</v>
      </c>
      <c r="M1600">
        <f t="shared" si="73"/>
        <v>0</v>
      </c>
      <c r="N1600">
        <f t="shared" si="74"/>
        <v>0</v>
      </c>
    </row>
    <row r="1601" spans="1:14">
      <c r="A1601">
        <v>4128</v>
      </c>
      <c r="B1601" t="s">
        <v>1034</v>
      </c>
      <c r="C1601" t="s">
        <v>756</v>
      </c>
      <c r="D1601" t="s">
        <v>795</v>
      </c>
      <c r="E1601">
        <v>918572</v>
      </c>
      <c r="G1601" s="2">
        <v>0.53472222222222221</v>
      </c>
      <c r="H1601" s="2">
        <v>0.56041666666666667</v>
      </c>
      <c r="J1601">
        <v>0.57893424528662096</v>
      </c>
      <c r="K1601" t="s">
        <v>817</v>
      </c>
      <c r="L1601" t="str">
        <f t="shared" si="72"/>
        <v>46</v>
      </c>
      <c r="M1601">
        <f t="shared" si="73"/>
        <v>0</v>
      </c>
      <c r="N1601">
        <f t="shared" si="74"/>
        <v>0</v>
      </c>
    </row>
    <row r="1602" spans="1:14">
      <c r="A1602">
        <v>4128</v>
      </c>
      <c r="B1602" t="s">
        <v>1034</v>
      </c>
      <c r="C1602" t="s">
        <v>756</v>
      </c>
      <c r="D1602" t="s">
        <v>795</v>
      </c>
      <c r="E1602">
        <v>918572</v>
      </c>
      <c r="G1602" s="2">
        <v>0.56041666666666667</v>
      </c>
      <c r="H1602" s="2">
        <v>0.56388888888888888</v>
      </c>
      <c r="J1602">
        <v>7.8234357471164903E-2</v>
      </c>
      <c r="K1602" t="s">
        <v>877</v>
      </c>
      <c r="L1602" t="str">
        <f t="shared" ref="L1602:L1646" si="75">RIGHT(LEFT(K1602,4),2)</f>
        <v>46</v>
      </c>
      <c r="M1602">
        <f t="shared" ref="M1602:M1646" si="76">IF(I1602=0,0,I1602-H1602)+IF(F1602=0,0,G1602-F1602)</f>
        <v>0</v>
      </c>
      <c r="N1602">
        <f t="shared" ref="N1602:N1646" si="77">(M1602-INT(M1602))*24</f>
        <v>0</v>
      </c>
    </row>
    <row r="1603" spans="1:14">
      <c r="A1603">
        <v>4128</v>
      </c>
      <c r="B1603" t="s">
        <v>1034</v>
      </c>
      <c r="C1603" t="s">
        <v>756</v>
      </c>
      <c r="D1603" t="s">
        <v>795</v>
      </c>
      <c r="E1603">
        <v>918572</v>
      </c>
      <c r="G1603" s="2">
        <v>0.56388888888888888</v>
      </c>
      <c r="H1603" s="2">
        <v>0.65972222222222221</v>
      </c>
      <c r="J1603">
        <v>2.1592682662041498</v>
      </c>
      <c r="K1603" t="s">
        <v>816</v>
      </c>
      <c r="L1603" t="str">
        <f t="shared" si="75"/>
        <v>46</v>
      </c>
      <c r="M1603">
        <f t="shared" si="76"/>
        <v>0</v>
      </c>
      <c r="N1603">
        <f t="shared" si="77"/>
        <v>0</v>
      </c>
    </row>
    <row r="1604" spans="1:14">
      <c r="A1604">
        <v>4128</v>
      </c>
      <c r="B1604" t="s">
        <v>1034</v>
      </c>
      <c r="C1604" t="s">
        <v>756</v>
      </c>
      <c r="D1604" t="s">
        <v>795</v>
      </c>
      <c r="E1604">
        <v>918572</v>
      </c>
      <c r="G1604" s="2">
        <v>0.65972222222222221</v>
      </c>
      <c r="H1604" s="2">
        <v>0.66180555555555554</v>
      </c>
      <c r="J1604">
        <v>4.6940614482698997E-2</v>
      </c>
      <c r="K1604" t="s">
        <v>815</v>
      </c>
      <c r="L1604" t="str">
        <f t="shared" si="75"/>
        <v>46</v>
      </c>
      <c r="M1604">
        <f t="shared" si="76"/>
        <v>0</v>
      </c>
      <c r="N1604">
        <f t="shared" si="77"/>
        <v>0</v>
      </c>
    </row>
    <row r="1605" spans="1:14">
      <c r="A1605">
        <v>4128</v>
      </c>
      <c r="B1605" t="s">
        <v>1034</v>
      </c>
      <c r="C1605" t="s">
        <v>756</v>
      </c>
      <c r="D1605" t="s">
        <v>795</v>
      </c>
      <c r="E1605">
        <v>918572</v>
      </c>
      <c r="G1605" s="2">
        <v>0.66180555555555554</v>
      </c>
      <c r="H1605" s="2">
        <v>0.68263888888888891</v>
      </c>
      <c r="J1605">
        <v>0.46940614482699</v>
      </c>
      <c r="K1605" t="s">
        <v>816</v>
      </c>
      <c r="L1605" t="str">
        <f t="shared" si="75"/>
        <v>46</v>
      </c>
      <c r="M1605">
        <f t="shared" si="76"/>
        <v>0</v>
      </c>
      <c r="N1605">
        <f t="shared" si="77"/>
        <v>0</v>
      </c>
    </row>
    <row r="1606" spans="1:14">
      <c r="A1606">
        <v>4128</v>
      </c>
      <c r="B1606" t="s">
        <v>1034</v>
      </c>
      <c r="C1606" t="s">
        <v>756</v>
      </c>
      <c r="D1606" t="s">
        <v>795</v>
      </c>
      <c r="E1606">
        <v>918572</v>
      </c>
      <c r="G1606" s="2">
        <v>0.68263888888888891</v>
      </c>
      <c r="H1606" s="2">
        <v>0.68472222222222223</v>
      </c>
      <c r="J1606">
        <v>4.6940614482698997E-2</v>
      </c>
      <c r="K1606" t="s">
        <v>817</v>
      </c>
      <c r="L1606" t="str">
        <f t="shared" si="75"/>
        <v>46</v>
      </c>
      <c r="M1606">
        <f t="shared" si="76"/>
        <v>0</v>
      </c>
      <c r="N1606">
        <f t="shared" si="77"/>
        <v>0</v>
      </c>
    </row>
    <row r="1607" spans="1:14">
      <c r="A1607">
        <v>4128</v>
      </c>
      <c r="B1607" t="s">
        <v>1034</v>
      </c>
      <c r="C1607" t="s">
        <v>756</v>
      </c>
      <c r="D1607" t="s">
        <v>795</v>
      </c>
      <c r="E1607">
        <v>918572</v>
      </c>
      <c r="G1607" s="2">
        <v>0.68472222222222223</v>
      </c>
      <c r="H1607" s="2">
        <v>0.72222222222222221</v>
      </c>
      <c r="J1607">
        <v>0.84493106068858204</v>
      </c>
      <c r="K1607" t="s">
        <v>816</v>
      </c>
      <c r="L1607" t="str">
        <f t="shared" si="75"/>
        <v>46</v>
      </c>
      <c r="M1607">
        <f t="shared" si="76"/>
        <v>0</v>
      </c>
      <c r="N1607">
        <f t="shared" si="77"/>
        <v>0</v>
      </c>
    </row>
    <row r="1608" spans="1:14">
      <c r="A1608">
        <v>4128</v>
      </c>
      <c r="B1608" t="s">
        <v>1034</v>
      </c>
      <c r="C1608" t="s">
        <v>756</v>
      </c>
      <c r="D1608" t="s">
        <v>795</v>
      </c>
      <c r="E1608">
        <v>918572</v>
      </c>
      <c r="G1608" s="2">
        <v>0.72222222222222221</v>
      </c>
      <c r="H1608" s="2">
        <v>0.72430555555555554</v>
      </c>
      <c r="J1608">
        <v>4.6940614482698997E-2</v>
      </c>
      <c r="K1608" t="s">
        <v>815</v>
      </c>
      <c r="L1608" t="str">
        <f t="shared" si="75"/>
        <v>46</v>
      </c>
      <c r="M1608">
        <f t="shared" si="76"/>
        <v>0</v>
      </c>
      <c r="N1608">
        <f t="shared" si="77"/>
        <v>0</v>
      </c>
    </row>
    <row r="1609" spans="1:14">
      <c r="A1609">
        <v>4128</v>
      </c>
      <c r="B1609" t="s">
        <v>1034</v>
      </c>
      <c r="C1609" t="s">
        <v>756</v>
      </c>
      <c r="D1609" t="s">
        <v>795</v>
      </c>
      <c r="E1609">
        <v>918572</v>
      </c>
      <c r="G1609" s="2">
        <v>0.72430555555555554</v>
      </c>
      <c r="H1609" s="2">
        <v>0.72499999999999998</v>
      </c>
      <c r="J1609">
        <v>1.5646871494233001E-2</v>
      </c>
      <c r="K1609" t="s">
        <v>816</v>
      </c>
      <c r="L1609" t="str">
        <f t="shared" si="75"/>
        <v>46</v>
      </c>
      <c r="M1609">
        <f t="shared" si="76"/>
        <v>0</v>
      </c>
      <c r="N1609">
        <f t="shared" si="77"/>
        <v>0</v>
      </c>
    </row>
    <row r="1610" spans="1:14">
      <c r="A1610">
        <v>4128</v>
      </c>
      <c r="B1610" t="s">
        <v>1034</v>
      </c>
      <c r="C1610" t="s">
        <v>756</v>
      </c>
      <c r="D1610" t="s">
        <v>795</v>
      </c>
      <c r="E1610">
        <v>918572</v>
      </c>
      <c r="G1610" s="2">
        <v>0.72499999999999998</v>
      </c>
      <c r="H1610" s="2">
        <v>0.7270833333333333</v>
      </c>
      <c r="J1610">
        <v>4.6940614482698997E-2</v>
      </c>
      <c r="K1610" t="s">
        <v>815</v>
      </c>
      <c r="L1610" t="str">
        <f t="shared" si="75"/>
        <v>46</v>
      </c>
      <c r="M1610">
        <f t="shared" si="76"/>
        <v>0</v>
      </c>
      <c r="N1610">
        <f t="shared" si="77"/>
        <v>0</v>
      </c>
    </row>
    <row r="1611" spans="1:14">
      <c r="A1611">
        <v>4128</v>
      </c>
      <c r="B1611" t="s">
        <v>1034</v>
      </c>
      <c r="C1611" t="s">
        <v>756</v>
      </c>
      <c r="D1611" t="s">
        <v>795</v>
      </c>
      <c r="E1611">
        <v>918572</v>
      </c>
      <c r="G1611" s="2">
        <v>0.7270833333333333</v>
      </c>
      <c r="H1611" s="2">
        <v>0.7284722222222223</v>
      </c>
      <c r="J1611">
        <v>3.1293742988465899E-2</v>
      </c>
      <c r="K1611" t="s">
        <v>816</v>
      </c>
      <c r="L1611" t="str">
        <f t="shared" si="75"/>
        <v>46</v>
      </c>
      <c r="M1611">
        <f t="shared" si="76"/>
        <v>0</v>
      </c>
      <c r="N1611">
        <f t="shared" si="77"/>
        <v>0</v>
      </c>
    </row>
    <row r="1612" spans="1:14">
      <c r="A1612">
        <v>4128</v>
      </c>
      <c r="B1612" t="s">
        <v>1034</v>
      </c>
      <c r="C1612" t="s">
        <v>756</v>
      </c>
      <c r="D1612" t="s">
        <v>795</v>
      </c>
      <c r="E1612">
        <v>918572</v>
      </c>
      <c r="G1612" s="2">
        <v>0.7284722222222223</v>
      </c>
      <c r="H1612" s="2">
        <v>0.75208333333333333</v>
      </c>
      <c r="J1612">
        <v>0.53199363080392204</v>
      </c>
      <c r="K1612" t="s">
        <v>815</v>
      </c>
      <c r="L1612" t="str">
        <f t="shared" si="75"/>
        <v>46</v>
      </c>
      <c r="M1612">
        <f t="shared" si="76"/>
        <v>0</v>
      </c>
      <c r="N1612">
        <f t="shared" si="77"/>
        <v>0</v>
      </c>
    </row>
    <row r="1613" spans="1:14">
      <c r="A1613">
        <v>4128</v>
      </c>
      <c r="B1613" t="s">
        <v>1034</v>
      </c>
      <c r="C1613" t="s">
        <v>756</v>
      </c>
      <c r="D1613" t="s">
        <v>795</v>
      </c>
      <c r="E1613">
        <v>918572</v>
      </c>
      <c r="G1613" s="2">
        <v>0.75208333333333333</v>
      </c>
      <c r="H1613" s="2">
        <v>0.7680555555555556</v>
      </c>
      <c r="J1613">
        <v>0.35987804436735799</v>
      </c>
      <c r="K1613" t="s">
        <v>816</v>
      </c>
      <c r="L1613" t="str">
        <f t="shared" si="75"/>
        <v>46</v>
      </c>
      <c r="M1613">
        <f t="shared" si="76"/>
        <v>0</v>
      </c>
      <c r="N1613">
        <f t="shared" si="77"/>
        <v>0</v>
      </c>
    </row>
    <row r="1614" spans="1:14">
      <c r="A1614">
        <v>4128</v>
      </c>
      <c r="B1614" t="s">
        <v>1034</v>
      </c>
      <c r="C1614" t="s">
        <v>756</v>
      </c>
      <c r="D1614" t="s">
        <v>795</v>
      </c>
      <c r="E1614">
        <v>918572</v>
      </c>
      <c r="G1614" s="2">
        <v>0.7680555555555556</v>
      </c>
      <c r="H1614" s="2">
        <v>0.79166666666666663</v>
      </c>
      <c r="J1614">
        <v>0.53199363080392204</v>
      </c>
      <c r="K1614" t="s">
        <v>778</v>
      </c>
      <c r="L1614" t="str">
        <f t="shared" si="75"/>
        <v>37</v>
      </c>
      <c r="M1614">
        <f t="shared" si="76"/>
        <v>0</v>
      </c>
      <c r="N1614">
        <f t="shared" si="77"/>
        <v>0</v>
      </c>
    </row>
    <row r="1615" spans="1:14">
      <c r="A1615">
        <v>7597</v>
      </c>
      <c r="B1615" t="s">
        <v>1285</v>
      </c>
      <c r="C1615" t="s">
        <v>755</v>
      </c>
      <c r="D1615" t="s">
        <v>757</v>
      </c>
      <c r="E1615">
        <v>342208</v>
      </c>
      <c r="G1615" s="2">
        <v>0.20555555555555557</v>
      </c>
      <c r="H1615" s="2">
        <v>0.26250000000000001</v>
      </c>
      <c r="J1615">
        <v>1.2786784739294299</v>
      </c>
      <c r="K1615" t="s">
        <v>840</v>
      </c>
      <c r="L1615" t="str">
        <f t="shared" si="75"/>
        <v>33</v>
      </c>
      <c r="M1615">
        <f t="shared" si="76"/>
        <v>0</v>
      </c>
      <c r="N1615">
        <f t="shared" si="77"/>
        <v>0</v>
      </c>
    </row>
    <row r="1616" spans="1:14">
      <c r="A1616">
        <v>7597</v>
      </c>
      <c r="B1616" t="s">
        <v>1285</v>
      </c>
      <c r="C1616" t="s">
        <v>755</v>
      </c>
      <c r="D1616" t="s">
        <v>757</v>
      </c>
      <c r="E1616">
        <v>342208</v>
      </c>
      <c r="G1616" s="2">
        <v>0.26250000000000001</v>
      </c>
      <c r="H1616" s="2">
        <v>0.2902777777777778</v>
      </c>
      <c r="J1616">
        <v>0.62374559703874499</v>
      </c>
      <c r="K1616" t="s">
        <v>801</v>
      </c>
      <c r="L1616" t="str">
        <f t="shared" si="75"/>
        <v>33</v>
      </c>
      <c r="M1616">
        <f t="shared" si="76"/>
        <v>0</v>
      </c>
      <c r="N1616">
        <f t="shared" si="77"/>
        <v>0</v>
      </c>
    </row>
    <row r="1617" spans="1:14">
      <c r="A1617">
        <v>7597</v>
      </c>
      <c r="B1617" t="s">
        <v>1285</v>
      </c>
      <c r="C1617" t="s">
        <v>755</v>
      </c>
      <c r="D1617" t="s">
        <v>757</v>
      </c>
      <c r="E1617">
        <v>342208</v>
      </c>
      <c r="G1617" s="2">
        <v>0.2902777777777778</v>
      </c>
      <c r="H1617" s="2">
        <v>0.49444444444444446</v>
      </c>
      <c r="J1617">
        <v>4.5845301382347703</v>
      </c>
      <c r="K1617" t="s">
        <v>840</v>
      </c>
      <c r="L1617" t="str">
        <f t="shared" si="75"/>
        <v>33</v>
      </c>
      <c r="M1617">
        <f t="shared" si="76"/>
        <v>0</v>
      </c>
      <c r="N1617">
        <f t="shared" si="77"/>
        <v>0</v>
      </c>
    </row>
    <row r="1618" spans="1:14">
      <c r="A1618">
        <v>7597</v>
      </c>
      <c r="B1618" t="s">
        <v>1285</v>
      </c>
      <c r="C1618" t="s">
        <v>755</v>
      </c>
      <c r="D1618" t="s">
        <v>757</v>
      </c>
      <c r="E1618">
        <v>342208</v>
      </c>
      <c r="G1618" s="2">
        <v>0.49444444444444446</v>
      </c>
      <c r="H1618" s="2">
        <v>0.50972222222222219</v>
      </c>
      <c r="J1618">
        <v>0.34306007837130997</v>
      </c>
      <c r="K1618" t="s">
        <v>801</v>
      </c>
      <c r="L1618" t="str">
        <f t="shared" si="75"/>
        <v>33</v>
      </c>
      <c r="M1618">
        <f t="shared" si="76"/>
        <v>0</v>
      </c>
      <c r="N1618">
        <f t="shared" si="77"/>
        <v>0</v>
      </c>
    </row>
    <row r="1619" spans="1:14">
      <c r="A1619">
        <v>7597</v>
      </c>
      <c r="B1619" t="s">
        <v>1285</v>
      </c>
      <c r="C1619" t="s">
        <v>755</v>
      </c>
      <c r="D1619" t="s">
        <v>757</v>
      </c>
      <c r="E1619">
        <v>342208</v>
      </c>
      <c r="G1619" s="2">
        <v>0.50972222222222219</v>
      </c>
      <c r="H1619" s="2">
        <v>0.52083333333333337</v>
      </c>
      <c r="J1619">
        <v>0.24949823881549801</v>
      </c>
      <c r="K1619" t="s">
        <v>840</v>
      </c>
      <c r="L1619" t="str">
        <f t="shared" si="75"/>
        <v>33</v>
      </c>
      <c r="M1619">
        <f t="shared" si="76"/>
        <v>0</v>
      </c>
      <c r="N1619">
        <f t="shared" si="77"/>
        <v>0</v>
      </c>
    </row>
    <row r="1620" spans="1:14">
      <c r="A1620">
        <v>8008</v>
      </c>
      <c r="B1620" t="s">
        <v>1035</v>
      </c>
      <c r="C1620" t="s">
        <v>754</v>
      </c>
      <c r="D1620" t="s">
        <v>775</v>
      </c>
      <c r="E1620">
        <v>547680</v>
      </c>
      <c r="G1620" s="2">
        <v>0.29166666666666669</v>
      </c>
      <c r="H1620" s="2">
        <v>0.64583333333333337</v>
      </c>
      <c r="J1620">
        <v>8</v>
      </c>
      <c r="K1620" t="s">
        <v>792</v>
      </c>
      <c r="L1620" t="str">
        <f t="shared" si="75"/>
        <v>65</v>
      </c>
      <c r="M1620">
        <f t="shared" si="76"/>
        <v>0</v>
      </c>
      <c r="N1620">
        <f t="shared" si="77"/>
        <v>0</v>
      </c>
    </row>
    <row r="1621" spans="1:14">
      <c r="A1621">
        <v>7142</v>
      </c>
      <c r="B1621" t="s">
        <v>1036</v>
      </c>
      <c r="C1621" t="s">
        <v>754</v>
      </c>
      <c r="D1621" t="s">
        <v>775</v>
      </c>
      <c r="E1621">
        <v>30684</v>
      </c>
      <c r="G1621" s="2">
        <v>0.29166666666666669</v>
      </c>
      <c r="H1621" s="2">
        <v>0.45833333333333331</v>
      </c>
      <c r="J1621">
        <v>3.75</v>
      </c>
      <c r="K1621" t="s">
        <v>793</v>
      </c>
      <c r="L1621" t="str">
        <f t="shared" si="75"/>
        <v>33</v>
      </c>
      <c r="M1621">
        <f t="shared" si="76"/>
        <v>0</v>
      </c>
      <c r="N1621">
        <f t="shared" si="77"/>
        <v>0</v>
      </c>
    </row>
    <row r="1622" spans="1:14">
      <c r="A1622">
        <v>7142</v>
      </c>
      <c r="B1622" t="s">
        <v>1036</v>
      </c>
      <c r="C1622" t="s">
        <v>754</v>
      </c>
      <c r="D1622" t="s">
        <v>775</v>
      </c>
      <c r="E1622">
        <v>30684</v>
      </c>
      <c r="G1622" s="2">
        <v>0.45833333333333331</v>
      </c>
      <c r="H1622" s="2">
        <v>0.54166666666666663</v>
      </c>
      <c r="J1622">
        <v>1.875</v>
      </c>
      <c r="K1622" t="s">
        <v>776</v>
      </c>
      <c r="L1622" t="str">
        <f t="shared" si="75"/>
        <v>37</v>
      </c>
      <c r="M1622">
        <f t="shared" si="76"/>
        <v>0</v>
      </c>
      <c r="N1622">
        <f t="shared" si="77"/>
        <v>0</v>
      </c>
    </row>
    <row r="1623" spans="1:14">
      <c r="A1623">
        <v>7142</v>
      </c>
      <c r="B1623" t="s">
        <v>1036</v>
      </c>
      <c r="C1623" t="s">
        <v>754</v>
      </c>
      <c r="D1623" t="s">
        <v>775</v>
      </c>
      <c r="E1623">
        <v>30684</v>
      </c>
      <c r="G1623" s="2">
        <v>0.54166666666666663</v>
      </c>
      <c r="H1623" s="2">
        <v>0.625</v>
      </c>
      <c r="J1623">
        <v>1.875</v>
      </c>
      <c r="K1623" t="s">
        <v>884</v>
      </c>
      <c r="L1623" t="str">
        <f t="shared" si="75"/>
        <v>46</v>
      </c>
      <c r="M1623">
        <f t="shared" si="76"/>
        <v>0</v>
      </c>
      <c r="N1623">
        <f t="shared" si="77"/>
        <v>0</v>
      </c>
    </row>
    <row r="1624" spans="1:14">
      <c r="A1624">
        <v>7764</v>
      </c>
      <c r="B1624" t="s">
        <v>1286</v>
      </c>
      <c r="C1624" t="s">
        <v>754</v>
      </c>
      <c r="D1624" t="s">
        <v>802</v>
      </c>
      <c r="E1624">
        <v>428999</v>
      </c>
      <c r="G1624" s="2">
        <v>0.54236111111111118</v>
      </c>
      <c r="H1624" s="2">
        <v>0.57638888888888895</v>
      </c>
      <c r="J1624">
        <v>0.81623214551858503</v>
      </c>
      <c r="K1624" t="s">
        <v>767</v>
      </c>
      <c r="L1624" t="str">
        <f t="shared" si="75"/>
        <v>37</v>
      </c>
      <c r="M1624">
        <f t="shared" si="76"/>
        <v>0</v>
      </c>
      <c r="N1624">
        <f t="shared" si="77"/>
        <v>0</v>
      </c>
    </row>
    <row r="1625" spans="1:14">
      <c r="A1625">
        <v>7764</v>
      </c>
      <c r="B1625" t="s">
        <v>1286</v>
      </c>
      <c r="C1625" t="s">
        <v>754</v>
      </c>
      <c r="D1625" t="s">
        <v>802</v>
      </c>
      <c r="E1625">
        <v>428999</v>
      </c>
      <c r="G1625" s="2">
        <v>0.57638888888888895</v>
      </c>
      <c r="H1625" s="2">
        <v>0.59444444444444444</v>
      </c>
      <c r="J1625">
        <v>0.43310277109149298</v>
      </c>
      <c r="K1625" t="s">
        <v>827</v>
      </c>
      <c r="L1625" t="str">
        <f t="shared" si="75"/>
        <v>37</v>
      </c>
      <c r="M1625">
        <f t="shared" si="76"/>
        <v>0</v>
      </c>
      <c r="N1625">
        <f t="shared" si="77"/>
        <v>0</v>
      </c>
    </row>
    <row r="1626" spans="1:14">
      <c r="A1626">
        <v>7764</v>
      </c>
      <c r="B1626" t="s">
        <v>1286</v>
      </c>
      <c r="C1626" t="s">
        <v>754</v>
      </c>
      <c r="D1626" t="s">
        <v>802</v>
      </c>
      <c r="E1626">
        <v>428999</v>
      </c>
      <c r="G1626" s="2">
        <v>0.59444444444444444</v>
      </c>
      <c r="H1626" s="2">
        <v>0.61944444444444446</v>
      </c>
      <c r="J1626">
        <v>0.59968075997283699</v>
      </c>
      <c r="K1626" t="s">
        <v>1287</v>
      </c>
      <c r="L1626" t="str">
        <f t="shared" si="75"/>
        <v>46</v>
      </c>
      <c r="M1626">
        <f t="shared" si="76"/>
        <v>0</v>
      </c>
      <c r="N1626">
        <f t="shared" si="77"/>
        <v>0</v>
      </c>
    </row>
    <row r="1627" spans="1:14">
      <c r="A1627">
        <v>7764</v>
      </c>
      <c r="B1627" t="s">
        <v>1286</v>
      </c>
      <c r="C1627" t="s">
        <v>754</v>
      </c>
      <c r="D1627" t="s">
        <v>802</v>
      </c>
      <c r="E1627">
        <v>428999</v>
      </c>
      <c r="G1627" s="2">
        <v>0.61944444444444446</v>
      </c>
      <c r="H1627" s="2">
        <v>0.6645833333333333</v>
      </c>
      <c r="J1627">
        <v>1.0827569277287299</v>
      </c>
      <c r="K1627" t="s">
        <v>790</v>
      </c>
      <c r="L1627" t="str">
        <f t="shared" si="75"/>
        <v>46</v>
      </c>
      <c r="M1627">
        <f t="shared" si="76"/>
        <v>0</v>
      </c>
      <c r="N1627">
        <f t="shared" si="77"/>
        <v>0</v>
      </c>
    </row>
    <row r="1628" spans="1:14">
      <c r="A1628">
        <v>7764</v>
      </c>
      <c r="B1628" t="s">
        <v>1286</v>
      </c>
      <c r="C1628" t="s">
        <v>754</v>
      </c>
      <c r="D1628" t="s">
        <v>802</v>
      </c>
      <c r="E1628">
        <v>428999</v>
      </c>
      <c r="G1628" s="2">
        <v>0.6645833333333333</v>
      </c>
      <c r="H1628" s="2">
        <v>0.71111111111111114</v>
      </c>
      <c r="J1628">
        <v>1.1160725255049999</v>
      </c>
      <c r="K1628" t="s">
        <v>767</v>
      </c>
      <c r="L1628" t="str">
        <f t="shared" si="75"/>
        <v>37</v>
      </c>
      <c r="M1628">
        <f t="shared" si="76"/>
        <v>0</v>
      </c>
      <c r="N1628">
        <f t="shared" si="77"/>
        <v>0</v>
      </c>
    </row>
    <row r="1629" spans="1:14">
      <c r="A1629">
        <v>7764</v>
      </c>
      <c r="B1629" t="s">
        <v>1286</v>
      </c>
      <c r="C1629" t="s">
        <v>754</v>
      </c>
      <c r="D1629" t="s">
        <v>802</v>
      </c>
      <c r="E1629">
        <v>428999</v>
      </c>
      <c r="G1629" s="2">
        <v>0.71111111111111114</v>
      </c>
      <c r="H1629" s="2">
        <v>0.76597222222222217</v>
      </c>
      <c r="J1629">
        <v>1.3159661121626101</v>
      </c>
      <c r="K1629" t="s">
        <v>790</v>
      </c>
      <c r="L1629" t="str">
        <f t="shared" si="75"/>
        <v>46</v>
      </c>
      <c r="M1629">
        <f t="shared" si="76"/>
        <v>0</v>
      </c>
      <c r="N1629">
        <f t="shared" si="77"/>
        <v>0</v>
      </c>
    </row>
    <row r="1630" spans="1:14">
      <c r="A1630">
        <v>7764</v>
      </c>
      <c r="B1630" t="s">
        <v>1286</v>
      </c>
      <c r="C1630" t="s">
        <v>754</v>
      </c>
      <c r="D1630" t="s">
        <v>802</v>
      </c>
      <c r="E1630">
        <v>428999</v>
      </c>
      <c r="G1630" s="2">
        <v>0.76597222222222217</v>
      </c>
      <c r="H1630" s="2">
        <v>0.8027777777777777</v>
      </c>
      <c r="J1630">
        <v>0.88286334107112197</v>
      </c>
      <c r="K1630" t="s">
        <v>767</v>
      </c>
      <c r="L1630" t="str">
        <f t="shared" si="75"/>
        <v>37</v>
      </c>
      <c r="M1630">
        <f t="shared" si="76"/>
        <v>0</v>
      </c>
      <c r="N1630">
        <f t="shared" si="77"/>
        <v>0</v>
      </c>
    </row>
    <row r="1631" spans="1:14">
      <c r="A1631">
        <v>7764</v>
      </c>
      <c r="B1631" t="s">
        <v>1286</v>
      </c>
      <c r="C1631" t="s">
        <v>754</v>
      </c>
      <c r="D1631" t="s">
        <v>802</v>
      </c>
      <c r="E1631">
        <v>428999</v>
      </c>
      <c r="G1631" s="2">
        <v>0.8027777777777777</v>
      </c>
      <c r="H1631" s="2">
        <v>0.89583333333333337</v>
      </c>
      <c r="J1631">
        <v>2.2321450510099998</v>
      </c>
      <c r="K1631" t="s">
        <v>827</v>
      </c>
      <c r="L1631" t="str">
        <f t="shared" si="75"/>
        <v>37</v>
      </c>
      <c r="M1631">
        <f t="shared" si="76"/>
        <v>0</v>
      </c>
      <c r="N1631">
        <f t="shared" si="77"/>
        <v>0</v>
      </c>
    </row>
    <row r="1632" spans="1:14">
      <c r="A1632">
        <v>7948</v>
      </c>
      <c r="B1632" t="s">
        <v>1037</v>
      </c>
      <c r="C1632" t="s">
        <v>754</v>
      </c>
      <c r="D1632" t="s">
        <v>795</v>
      </c>
      <c r="E1632">
        <v>838487</v>
      </c>
      <c r="G1632" s="2">
        <v>0.83958333333333324</v>
      </c>
      <c r="H1632" s="2">
        <v>0.98888888888888893</v>
      </c>
      <c r="J1632">
        <v>3.3532577212303201</v>
      </c>
      <c r="K1632" t="s">
        <v>796</v>
      </c>
      <c r="L1632" t="str">
        <f t="shared" si="75"/>
        <v>37</v>
      </c>
      <c r="M1632">
        <f t="shared" si="76"/>
        <v>0</v>
      </c>
      <c r="N1632">
        <f t="shared" si="77"/>
        <v>0</v>
      </c>
    </row>
    <row r="1633" spans="1:14">
      <c r="A1633">
        <v>7948</v>
      </c>
      <c r="B1633" t="s">
        <v>1037</v>
      </c>
      <c r="C1633" t="s">
        <v>754</v>
      </c>
      <c r="D1633" t="s">
        <v>795</v>
      </c>
      <c r="E1633">
        <v>838487</v>
      </c>
      <c r="G1633" s="2">
        <v>0.98888888888888893</v>
      </c>
      <c r="H1633" s="2">
        <v>0.98958333333333337</v>
      </c>
      <c r="J1633">
        <v>1.55965475406061E-2</v>
      </c>
      <c r="K1633" t="s">
        <v>797</v>
      </c>
      <c r="L1633" t="str">
        <f t="shared" si="75"/>
        <v>37</v>
      </c>
      <c r="M1633">
        <f t="shared" si="76"/>
        <v>0</v>
      </c>
      <c r="N1633">
        <f t="shared" si="77"/>
        <v>0</v>
      </c>
    </row>
    <row r="1634" spans="1:14">
      <c r="A1634">
        <v>7948</v>
      </c>
      <c r="B1634" t="s">
        <v>1037</v>
      </c>
      <c r="C1634" t="s">
        <v>754</v>
      </c>
      <c r="D1634" t="s">
        <v>795</v>
      </c>
      <c r="E1634">
        <v>838487</v>
      </c>
      <c r="G1634" s="2">
        <v>0.98958333333333337</v>
      </c>
      <c r="H1634" s="2">
        <v>0.11805555555555557</v>
      </c>
      <c r="J1634">
        <v>2.8853612950121001</v>
      </c>
      <c r="K1634" t="s">
        <v>796</v>
      </c>
      <c r="L1634" t="str">
        <f t="shared" si="75"/>
        <v>37</v>
      </c>
      <c r="M1634">
        <f t="shared" si="76"/>
        <v>0</v>
      </c>
      <c r="N1634">
        <f t="shared" si="77"/>
        <v>0</v>
      </c>
    </row>
    <row r="1635" spans="1:14">
      <c r="A1635">
        <v>7948</v>
      </c>
      <c r="B1635" t="s">
        <v>1037</v>
      </c>
      <c r="C1635" t="s">
        <v>754</v>
      </c>
      <c r="D1635" t="s">
        <v>795</v>
      </c>
      <c r="E1635">
        <v>838487</v>
      </c>
      <c r="G1635" s="2">
        <v>0.11805555555555557</v>
      </c>
      <c r="H1635" s="2">
        <v>0.14027777777777778</v>
      </c>
      <c r="J1635">
        <v>0.49908952129939599</v>
      </c>
      <c r="K1635" t="s">
        <v>797</v>
      </c>
      <c r="L1635" t="str">
        <f t="shared" si="75"/>
        <v>37</v>
      </c>
      <c r="M1635">
        <f t="shared" si="76"/>
        <v>0</v>
      </c>
      <c r="N1635">
        <f t="shared" si="77"/>
        <v>0</v>
      </c>
    </row>
    <row r="1636" spans="1:14">
      <c r="A1636">
        <v>7948</v>
      </c>
      <c r="B1636" t="s">
        <v>1037</v>
      </c>
      <c r="C1636" t="s">
        <v>754</v>
      </c>
      <c r="D1636" t="s">
        <v>795</v>
      </c>
      <c r="E1636">
        <v>838487</v>
      </c>
      <c r="G1636" s="2">
        <v>0.14027777777777778</v>
      </c>
      <c r="H1636" s="2">
        <v>0.16666666666666666</v>
      </c>
      <c r="J1636">
        <v>0.592668806543033</v>
      </c>
      <c r="K1636" t="s">
        <v>767</v>
      </c>
      <c r="L1636" t="str">
        <f t="shared" si="75"/>
        <v>37</v>
      </c>
      <c r="M1636">
        <f t="shared" si="76"/>
        <v>0</v>
      </c>
      <c r="N1636">
        <f t="shared" si="77"/>
        <v>0</v>
      </c>
    </row>
    <row r="1637" spans="1:14">
      <c r="A1637">
        <v>7594</v>
      </c>
      <c r="B1637" t="s">
        <v>1162</v>
      </c>
      <c r="C1637" t="s">
        <v>754</v>
      </c>
      <c r="D1637" t="s">
        <v>893</v>
      </c>
      <c r="E1637">
        <v>247129</v>
      </c>
      <c r="G1637" s="2">
        <v>0.39444444444444443</v>
      </c>
      <c r="H1637" s="2">
        <v>0.79374999999999996</v>
      </c>
      <c r="J1637">
        <v>9.5</v>
      </c>
      <c r="K1637" t="s">
        <v>1159</v>
      </c>
      <c r="L1637" t="str">
        <f t="shared" si="75"/>
        <v>46</v>
      </c>
      <c r="M1637">
        <f t="shared" si="76"/>
        <v>0</v>
      </c>
      <c r="N1637">
        <f t="shared" si="77"/>
        <v>0</v>
      </c>
    </row>
    <row r="1638" spans="1:14">
      <c r="A1638">
        <v>7917</v>
      </c>
      <c r="B1638" t="s">
        <v>1288</v>
      </c>
      <c r="C1638" t="s">
        <v>755</v>
      </c>
      <c r="D1638" t="s">
        <v>818</v>
      </c>
      <c r="E1638">
        <v>801184</v>
      </c>
      <c r="G1638" s="2">
        <v>0.56874999999999998</v>
      </c>
      <c r="H1638" s="2">
        <v>0.7006944444444444</v>
      </c>
      <c r="J1638">
        <v>2.9704735102398199</v>
      </c>
      <c r="K1638" t="s">
        <v>759</v>
      </c>
      <c r="L1638" t="str">
        <f t="shared" si="75"/>
        <v>33</v>
      </c>
      <c r="M1638">
        <f t="shared" si="76"/>
        <v>0</v>
      </c>
      <c r="N1638">
        <f t="shared" si="77"/>
        <v>0</v>
      </c>
    </row>
    <row r="1639" spans="1:14">
      <c r="A1639">
        <v>7917</v>
      </c>
      <c r="B1639" t="s">
        <v>1288</v>
      </c>
      <c r="C1639" t="s">
        <v>755</v>
      </c>
      <c r="D1639" t="s">
        <v>818</v>
      </c>
      <c r="E1639">
        <v>801184</v>
      </c>
      <c r="G1639" s="2">
        <v>0.7006944444444444</v>
      </c>
      <c r="H1639" s="2">
        <v>0.7416666666666667</v>
      </c>
      <c r="J1639">
        <v>0.92241019528499502</v>
      </c>
      <c r="K1639" t="s">
        <v>760</v>
      </c>
      <c r="L1639" t="str">
        <f t="shared" si="75"/>
        <v>33</v>
      </c>
      <c r="M1639">
        <f t="shared" si="76"/>
        <v>0</v>
      </c>
      <c r="N1639">
        <f t="shared" si="77"/>
        <v>0</v>
      </c>
    </row>
    <row r="1640" spans="1:14">
      <c r="A1640">
        <v>7917</v>
      </c>
      <c r="B1640" t="s">
        <v>1288</v>
      </c>
      <c r="C1640" t="s">
        <v>755</v>
      </c>
      <c r="D1640" t="s">
        <v>818</v>
      </c>
      <c r="E1640">
        <v>801184</v>
      </c>
      <c r="G1640" s="2">
        <v>0.7416666666666667</v>
      </c>
      <c r="H1640" s="2">
        <v>0.74375000000000002</v>
      </c>
      <c r="J1640">
        <v>4.6902213319576003E-2</v>
      </c>
      <c r="K1640" t="s">
        <v>798</v>
      </c>
      <c r="L1640" t="str">
        <f t="shared" si="75"/>
        <v>33</v>
      </c>
      <c r="M1640">
        <f t="shared" si="76"/>
        <v>0</v>
      </c>
      <c r="N1640">
        <f t="shared" si="77"/>
        <v>0</v>
      </c>
    </row>
    <row r="1641" spans="1:14">
      <c r="A1641">
        <v>7917</v>
      </c>
      <c r="B1641" t="s">
        <v>1288</v>
      </c>
      <c r="C1641" t="s">
        <v>755</v>
      </c>
      <c r="D1641" t="s">
        <v>818</v>
      </c>
      <c r="E1641">
        <v>801184</v>
      </c>
      <c r="G1641" s="2">
        <v>0.74375000000000002</v>
      </c>
      <c r="H1641" s="2">
        <v>0.8965277777777777</v>
      </c>
      <c r="J1641">
        <v>3.4394956434355799</v>
      </c>
      <c r="K1641" t="s">
        <v>833</v>
      </c>
      <c r="L1641" t="str">
        <f t="shared" si="75"/>
        <v>33</v>
      </c>
      <c r="M1641">
        <f t="shared" si="76"/>
        <v>0</v>
      </c>
      <c r="N1641">
        <f t="shared" si="77"/>
        <v>0</v>
      </c>
    </row>
    <row r="1642" spans="1:14">
      <c r="A1642">
        <v>7719</v>
      </c>
      <c r="B1642" t="s">
        <v>1163</v>
      </c>
      <c r="C1642" t="s">
        <v>755</v>
      </c>
      <c r="D1642" t="s">
        <v>1164</v>
      </c>
      <c r="E1642">
        <v>351053</v>
      </c>
      <c r="G1642" s="2">
        <v>0.50624999999999998</v>
      </c>
      <c r="H1642" s="2">
        <v>0.58333333333333337</v>
      </c>
      <c r="J1642">
        <v>1.8318333333333301</v>
      </c>
      <c r="K1642" t="s">
        <v>773</v>
      </c>
      <c r="L1642" t="str">
        <f t="shared" si="75"/>
        <v>33</v>
      </c>
      <c r="M1642">
        <f t="shared" si="76"/>
        <v>0</v>
      </c>
      <c r="N1642">
        <f t="shared" si="77"/>
        <v>0</v>
      </c>
    </row>
    <row r="1643" spans="1:14">
      <c r="A1643">
        <v>7366</v>
      </c>
      <c r="B1643" t="s">
        <v>1038</v>
      </c>
      <c r="C1643" t="s">
        <v>754</v>
      </c>
      <c r="D1643" t="s">
        <v>839</v>
      </c>
      <c r="E1643">
        <v>38221</v>
      </c>
      <c r="G1643" s="2">
        <v>0.12430555555555556</v>
      </c>
      <c r="H1643" s="2">
        <v>0.54166666666666663</v>
      </c>
      <c r="J1643">
        <v>9.5</v>
      </c>
      <c r="K1643" t="s">
        <v>1039</v>
      </c>
      <c r="L1643" t="str">
        <f t="shared" si="75"/>
        <v>33</v>
      </c>
      <c r="M1643">
        <f t="shared" si="76"/>
        <v>0</v>
      </c>
      <c r="N1643">
        <f t="shared" si="77"/>
        <v>0</v>
      </c>
    </row>
    <row r="1644" spans="1:14">
      <c r="A1644">
        <v>7224</v>
      </c>
      <c r="B1644" t="s">
        <v>1165</v>
      </c>
      <c r="C1644" t="s">
        <v>754</v>
      </c>
      <c r="D1644" t="s">
        <v>830</v>
      </c>
      <c r="E1644">
        <v>26028</v>
      </c>
      <c r="G1644" s="2">
        <v>0.50902777777777775</v>
      </c>
      <c r="H1644" s="2">
        <v>0.62430555555555556</v>
      </c>
      <c r="J1644">
        <v>2.7651379158733</v>
      </c>
      <c r="K1644" t="s">
        <v>759</v>
      </c>
      <c r="L1644" t="str">
        <f t="shared" si="75"/>
        <v>33</v>
      </c>
      <c r="M1644">
        <f t="shared" si="76"/>
        <v>0</v>
      </c>
      <c r="N1644">
        <f t="shared" si="77"/>
        <v>0</v>
      </c>
    </row>
    <row r="1645" spans="1:14">
      <c r="A1645">
        <v>7224</v>
      </c>
      <c r="B1645" t="s">
        <v>1165</v>
      </c>
      <c r="C1645" t="s">
        <v>754</v>
      </c>
      <c r="D1645" t="s">
        <v>830</v>
      </c>
      <c r="E1645">
        <v>26028</v>
      </c>
      <c r="G1645" s="2">
        <v>0.62430555555555556</v>
      </c>
      <c r="H1645" s="2">
        <v>0.89583333333333337</v>
      </c>
      <c r="J1645">
        <v>6.5130658138943298</v>
      </c>
      <c r="K1645" t="s">
        <v>930</v>
      </c>
      <c r="L1645" t="str">
        <f t="shared" si="75"/>
        <v>33</v>
      </c>
      <c r="M1645">
        <f t="shared" si="76"/>
        <v>0</v>
      </c>
      <c r="N1645">
        <f t="shared" si="77"/>
        <v>0</v>
      </c>
    </row>
    <row r="1646" spans="1:14">
      <c r="A1646">
        <v>7225</v>
      </c>
      <c r="B1646" t="s">
        <v>1040</v>
      </c>
      <c r="C1646" t="s">
        <v>754</v>
      </c>
      <c r="D1646" t="s">
        <v>841</v>
      </c>
      <c r="E1646">
        <v>22046</v>
      </c>
      <c r="G1646" s="2">
        <v>0.20694444444444446</v>
      </c>
      <c r="H1646" s="2">
        <v>0.625</v>
      </c>
      <c r="J1646">
        <v>9.5</v>
      </c>
      <c r="K1646" t="s">
        <v>1041</v>
      </c>
      <c r="L1646" t="str">
        <f t="shared" si="75"/>
        <v>33</v>
      </c>
      <c r="M1646">
        <f t="shared" si="76"/>
        <v>0</v>
      </c>
      <c r="N1646">
        <f t="shared" si="77"/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38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4.140625" bestFit="1" customWidth="1"/>
    <col min="2" max="2" width="8.85546875" bestFit="1" customWidth="1"/>
    <col min="3" max="3" width="22.42578125" bestFit="1" customWidth="1"/>
    <col min="5" max="6" width="9.140625" style="2"/>
  </cols>
  <sheetData>
    <row r="1" spans="1:7">
      <c r="A1" s="1" t="s">
        <v>12</v>
      </c>
      <c r="B1" s="1" t="s">
        <v>16</v>
      </c>
      <c r="C1" s="1" t="s">
        <v>51</v>
      </c>
      <c r="D1" s="1" t="s">
        <v>19</v>
      </c>
      <c r="E1" s="3" t="s">
        <v>21</v>
      </c>
      <c r="F1" s="3" t="s">
        <v>22</v>
      </c>
      <c r="G1" s="3" t="s">
        <v>52</v>
      </c>
    </row>
    <row r="2" spans="1:7">
      <c r="A2">
        <v>37</v>
      </c>
      <c r="B2">
        <v>7002</v>
      </c>
      <c r="C2" t="s">
        <v>774</v>
      </c>
      <c r="D2">
        <v>28800</v>
      </c>
      <c r="E2" s="2">
        <v>0.29166666666666669</v>
      </c>
      <c r="F2" s="2">
        <v>0.64583333333333337</v>
      </c>
      <c r="G2" t="s">
        <v>776</v>
      </c>
    </row>
    <row r="3" spans="1:7">
      <c r="A3">
        <v>65</v>
      </c>
      <c r="B3">
        <v>8041</v>
      </c>
      <c r="C3" t="s">
        <v>781</v>
      </c>
      <c r="D3">
        <v>28800</v>
      </c>
      <c r="E3" s="2">
        <v>0.35416666666666669</v>
      </c>
      <c r="F3" s="2">
        <v>0.70833333333333337</v>
      </c>
      <c r="G3" t="s">
        <v>782</v>
      </c>
    </row>
    <row r="4" spans="1:7">
      <c r="A4">
        <v>65</v>
      </c>
      <c r="B4">
        <v>8010</v>
      </c>
      <c r="C4" t="s">
        <v>791</v>
      </c>
      <c r="D4">
        <v>28800</v>
      </c>
      <c r="E4" s="2">
        <v>0.29166666666666669</v>
      </c>
      <c r="F4" s="2">
        <v>0.64583333333333337</v>
      </c>
      <c r="G4" t="s">
        <v>792</v>
      </c>
    </row>
    <row r="5" spans="1:7">
      <c r="A5">
        <v>15</v>
      </c>
      <c r="B5">
        <v>8053</v>
      </c>
      <c r="C5" t="s">
        <v>809</v>
      </c>
      <c r="D5">
        <v>30582</v>
      </c>
      <c r="E5" s="2">
        <v>0.29166666666666669</v>
      </c>
      <c r="F5" s="2">
        <v>0.66666666666666663</v>
      </c>
      <c r="G5" t="s">
        <v>810</v>
      </c>
    </row>
    <row r="6" spans="1:7">
      <c r="A6">
        <v>65</v>
      </c>
      <c r="B6">
        <v>7483</v>
      </c>
      <c r="C6" t="s">
        <v>828</v>
      </c>
      <c r="D6">
        <v>28800</v>
      </c>
      <c r="E6" s="2">
        <v>0.33333333333333331</v>
      </c>
      <c r="F6" s="2">
        <v>0.6875</v>
      </c>
      <c r="G6" t="s">
        <v>829</v>
      </c>
    </row>
    <row r="7" spans="1:7">
      <c r="A7">
        <v>65</v>
      </c>
      <c r="B7">
        <v>8001</v>
      </c>
      <c r="C7" t="s">
        <v>844</v>
      </c>
      <c r="D7">
        <v>30582</v>
      </c>
      <c r="E7" s="2">
        <v>0.29166666666666669</v>
      </c>
      <c r="F7" s="2">
        <v>0.66666666666666663</v>
      </c>
      <c r="G7" t="s">
        <v>845</v>
      </c>
    </row>
    <row r="8" spans="1:7">
      <c r="A8">
        <v>65</v>
      </c>
      <c r="B8">
        <v>8014</v>
      </c>
      <c r="C8" t="s">
        <v>854</v>
      </c>
      <c r="D8">
        <v>28800</v>
      </c>
      <c r="E8" s="2">
        <v>0.29166666666666669</v>
      </c>
      <c r="F8" s="2">
        <v>0.64583333333333337</v>
      </c>
      <c r="G8" t="s">
        <v>855</v>
      </c>
    </row>
    <row r="9" spans="1:7">
      <c r="A9">
        <v>15</v>
      </c>
      <c r="B9">
        <v>8037</v>
      </c>
      <c r="C9" t="s">
        <v>872</v>
      </c>
      <c r="D9">
        <v>28800</v>
      </c>
      <c r="E9" s="2">
        <v>0.3125</v>
      </c>
      <c r="F9" s="2">
        <v>0.66666666666666663</v>
      </c>
      <c r="G9" t="s">
        <v>873</v>
      </c>
    </row>
    <row r="10" spans="1:7">
      <c r="A10">
        <v>37</v>
      </c>
      <c r="B10">
        <v>7610</v>
      </c>
      <c r="C10" t="s">
        <v>874</v>
      </c>
      <c r="D10">
        <v>15247</v>
      </c>
      <c r="E10" s="2">
        <v>0.3125</v>
      </c>
      <c r="F10" s="2">
        <v>0.5</v>
      </c>
      <c r="G10" t="s">
        <v>875</v>
      </c>
    </row>
    <row r="11" spans="1:7">
      <c r="A11">
        <v>46</v>
      </c>
      <c r="B11">
        <v>7610</v>
      </c>
      <c r="C11" t="s">
        <v>874</v>
      </c>
      <c r="D11">
        <v>13553</v>
      </c>
      <c r="E11" s="2">
        <v>0.5</v>
      </c>
      <c r="F11" s="2">
        <v>0.66666666666666663</v>
      </c>
      <c r="G11" t="s">
        <v>876</v>
      </c>
    </row>
    <row r="12" spans="1:7">
      <c r="A12">
        <v>65</v>
      </c>
      <c r="B12">
        <v>8060</v>
      </c>
      <c r="C12" t="s">
        <v>885</v>
      </c>
      <c r="D12">
        <v>28800</v>
      </c>
      <c r="E12" s="2">
        <v>0.33333333333333331</v>
      </c>
      <c r="F12" s="2">
        <v>0.6875</v>
      </c>
      <c r="G12" t="s">
        <v>886</v>
      </c>
    </row>
    <row r="13" spans="1:7">
      <c r="A13">
        <v>15</v>
      </c>
      <c r="B13">
        <v>7372</v>
      </c>
      <c r="C13" t="s">
        <v>898</v>
      </c>
      <c r="D13">
        <v>30582</v>
      </c>
      <c r="E13" s="2">
        <v>0.20833333333333334</v>
      </c>
      <c r="F13" s="2">
        <v>0.58333333333333337</v>
      </c>
      <c r="G13" t="s">
        <v>810</v>
      </c>
    </row>
    <row r="14" spans="1:7">
      <c r="A14">
        <v>33</v>
      </c>
      <c r="B14">
        <v>7093</v>
      </c>
      <c r="C14" t="s">
        <v>1208</v>
      </c>
      <c r="D14">
        <v>13553</v>
      </c>
      <c r="E14" s="2">
        <v>8.3333333333333329E-2</v>
      </c>
      <c r="F14" s="2">
        <v>0.25</v>
      </c>
      <c r="G14" t="s">
        <v>793</v>
      </c>
    </row>
    <row r="15" spans="1:7">
      <c r="A15">
        <v>37</v>
      </c>
      <c r="B15">
        <v>7093</v>
      </c>
      <c r="C15" t="s">
        <v>1208</v>
      </c>
      <c r="D15">
        <v>6776</v>
      </c>
      <c r="E15" s="2">
        <v>0.25</v>
      </c>
      <c r="F15" s="2">
        <v>0.33333333333333331</v>
      </c>
      <c r="G15" t="s">
        <v>776</v>
      </c>
    </row>
    <row r="16" spans="1:7">
      <c r="A16">
        <v>46</v>
      </c>
      <c r="B16">
        <v>7093</v>
      </c>
      <c r="C16" t="s">
        <v>1208</v>
      </c>
      <c r="D16">
        <v>8471</v>
      </c>
      <c r="E16" s="2">
        <v>0.33333333333333331</v>
      </c>
      <c r="F16" s="2">
        <v>0.4375</v>
      </c>
      <c r="G16" t="s">
        <v>884</v>
      </c>
    </row>
    <row r="17" spans="1:7">
      <c r="A17">
        <v>46</v>
      </c>
      <c r="B17">
        <v>7191</v>
      </c>
      <c r="C17" t="s">
        <v>900</v>
      </c>
      <c r="D17">
        <v>28800</v>
      </c>
      <c r="E17" s="2">
        <v>0.29166666666666669</v>
      </c>
      <c r="F17" s="2">
        <v>0.64583333333333337</v>
      </c>
      <c r="G17" t="s">
        <v>884</v>
      </c>
    </row>
    <row r="18" spans="1:7">
      <c r="A18">
        <v>33</v>
      </c>
      <c r="B18">
        <v>8012</v>
      </c>
      <c r="C18" t="s">
        <v>904</v>
      </c>
      <c r="D18">
        <v>28800</v>
      </c>
      <c r="E18" s="2">
        <v>0.29166666666666669</v>
      </c>
      <c r="F18" s="2">
        <v>0.64583333333333337</v>
      </c>
      <c r="G18" t="s">
        <v>793</v>
      </c>
    </row>
    <row r="19" spans="1:7">
      <c r="A19">
        <v>65</v>
      </c>
      <c r="B19">
        <v>8059</v>
      </c>
      <c r="C19" t="s">
        <v>906</v>
      </c>
      <c r="D19">
        <v>28800</v>
      </c>
      <c r="E19" s="2">
        <v>0.3125</v>
      </c>
      <c r="F19" s="2">
        <v>0.66666666666666663</v>
      </c>
      <c r="G19" t="s">
        <v>886</v>
      </c>
    </row>
    <row r="20" spans="1:7">
      <c r="A20">
        <v>15</v>
      </c>
      <c r="B20">
        <v>8020</v>
      </c>
      <c r="C20" t="s">
        <v>908</v>
      </c>
      <c r="D20">
        <v>27000</v>
      </c>
      <c r="E20" s="2">
        <v>0.3125</v>
      </c>
      <c r="F20" s="2">
        <v>0.64583333333333337</v>
      </c>
      <c r="G20" t="s">
        <v>909</v>
      </c>
    </row>
    <row r="21" spans="1:7">
      <c r="A21">
        <v>65</v>
      </c>
      <c r="B21">
        <v>8021</v>
      </c>
      <c r="C21" t="s">
        <v>927</v>
      </c>
      <c r="D21">
        <v>28800</v>
      </c>
      <c r="E21" s="2">
        <v>0.33333333333333331</v>
      </c>
      <c r="F21" s="2">
        <v>0.6875</v>
      </c>
      <c r="G21" t="s">
        <v>928</v>
      </c>
    </row>
    <row r="22" spans="1:7">
      <c r="A22">
        <v>37</v>
      </c>
      <c r="B22">
        <v>8029</v>
      </c>
      <c r="C22" t="s">
        <v>931</v>
      </c>
      <c r="D22">
        <v>28800</v>
      </c>
      <c r="E22" s="2">
        <v>0.20833333333333334</v>
      </c>
      <c r="F22" s="2">
        <v>0.5625</v>
      </c>
      <c r="G22" t="s">
        <v>776</v>
      </c>
    </row>
    <row r="23" spans="1:7">
      <c r="A23">
        <v>65</v>
      </c>
      <c r="B23">
        <v>8049</v>
      </c>
      <c r="C23" t="s">
        <v>939</v>
      </c>
      <c r="D23">
        <v>28800</v>
      </c>
      <c r="E23" s="2">
        <v>0.35416666666666669</v>
      </c>
      <c r="F23" s="2">
        <v>0.70833333333333337</v>
      </c>
      <c r="G23" t="s">
        <v>940</v>
      </c>
    </row>
    <row r="24" spans="1:7">
      <c r="A24">
        <v>65</v>
      </c>
      <c r="B24">
        <v>8011</v>
      </c>
      <c r="C24" t="s">
        <v>967</v>
      </c>
      <c r="D24">
        <v>27000</v>
      </c>
      <c r="E24" s="2">
        <v>0.33333333333333331</v>
      </c>
      <c r="F24" s="2">
        <v>0.66666666666666663</v>
      </c>
      <c r="G24" t="s">
        <v>855</v>
      </c>
    </row>
    <row r="25" spans="1:7">
      <c r="A25">
        <v>33</v>
      </c>
      <c r="B25">
        <v>7490</v>
      </c>
      <c r="C25" t="s">
        <v>980</v>
      </c>
      <c r="D25">
        <v>14400</v>
      </c>
      <c r="E25" s="2">
        <v>0.72916666666666663</v>
      </c>
      <c r="F25" s="2">
        <v>0.89583333333333337</v>
      </c>
      <c r="G25" t="s">
        <v>793</v>
      </c>
    </row>
    <row r="26" spans="1:7">
      <c r="A26">
        <v>46</v>
      </c>
      <c r="B26">
        <v>7490</v>
      </c>
      <c r="C26" t="s">
        <v>980</v>
      </c>
      <c r="D26">
        <v>7200</v>
      </c>
      <c r="E26" s="2">
        <v>0.89583333333333337</v>
      </c>
      <c r="F26" s="2">
        <v>0.97916666666666663</v>
      </c>
      <c r="G26" t="s">
        <v>884</v>
      </c>
    </row>
    <row r="27" spans="1:7">
      <c r="A27">
        <v>37</v>
      </c>
      <c r="B27">
        <v>7490</v>
      </c>
      <c r="C27" t="s">
        <v>980</v>
      </c>
      <c r="D27">
        <v>9000</v>
      </c>
      <c r="E27" s="2">
        <v>0.97916666666666663</v>
      </c>
      <c r="F27" s="2">
        <v>8.3333333333333329E-2</v>
      </c>
      <c r="G27" t="s">
        <v>776</v>
      </c>
    </row>
    <row r="28" spans="1:7">
      <c r="A28">
        <v>65</v>
      </c>
      <c r="B28">
        <v>8034</v>
      </c>
      <c r="C28" t="s">
        <v>983</v>
      </c>
      <c r="D28">
        <v>28800</v>
      </c>
      <c r="E28" s="2">
        <v>0.33333333333333331</v>
      </c>
      <c r="F28" s="2">
        <v>0.6875</v>
      </c>
      <c r="G28" t="s">
        <v>984</v>
      </c>
    </row>
    <row r="29" spans="1:7">
      <c r="A29">
        <v>65</v>
      </c>
      <c r="B29">
        <v>8002</v>
      </c>
      <c r="C29" t="s">
        <v>993</v>
      </c>
      <c r="D29">
        <v>28800</v>
      </c>
      <c r="E29" s="2">
        <v>0.33333333333333331</v>
      </c>
      <c r="F29" s="2">
        <v>0.6875</v>
      </c>
      <c r="G29" t="s">
        <v>994</v>
      </c>
    </row>
    <row r="30" spans="1:7">
      <c r="A30">
        <v>65</v>
      </c>
      <c r="B30">
        <v>8032</v>
      </c>
      <c r="C30" t="s">
        <v>998</v>
      </c>
      <c r="D30">
        <v>28800</v>
      </c>
      <c r="E30" s="2">
        <v>0.33333333333333331</v>
      </c>
      <c r="F30" s="2">
        <v>0.6875</v>
      </c>
      <c r="G30" t="s">
        <v>829</v>
      </c>
    </row>
    <row r="31" spans="1:7">
      <c r="A31">
        <v>65</v>
      </c>
      <c r="B31">
        <v>8008</v>
      </c>
      <c r="C31" t="s">
        <v>1035</v>
      </c>
      <c r="D31">
        <v>28800</v>
      </c>
      <c r="E31" s="2">
        <v>0.29166666666666669</v>
      </c>
      <c r="F31" s="2">
        <v>0.64583333333333337</v>
      </c>
      <c r="G31" t="s">
        <v>792</v>
      </c>
    </row>
    <row r="32" spans="1:7">
      <c r="A32">
        <v>33</v>
      </c>
      <c r="B32">
        <v>7142</v>
      </c>
      <c r="C32" t="s">
        <v>1036</v>
      </c>
      <c r="D32">
        <v>13500</v>
      </c>
      <c r="E32" s="2">
        <v>0.29166666666666669</v>
      </c>
      <c r="F32" s="2">
        <v>0.45833333333333331</v>
      </c>
      <c r="G32" t="s">
        <v>793</v>
      </c>
    </row>
    <row r="33" spans="1:7">
      <c r="A33">
        <v>37</v>
      </c>
      <c r="B33">
        <v>7142</v>
      </c>
      <c r="C33" t="s">
        <v>1036</v>
      </c>
      <c r="D33">
        <v>6750</v>
      </c>
      <c r="E33" s="2">
        <v>0.45833333333333331</v>
      </c>
      <c r="F33" s="2">
        <v>0.54166666666666663</v>
      </c>
      <c r="G33" t="s">
        <v>776</v>
      </c>
    </row>
    <row r="34" spans="1:7">
      <c r="A34">
        <v>46</v>
      </c>
      <c r="B34">
        <v>7142</v>
      </c>
      <c r="C34" t="s">
        <v>1036</v>
      </c>
      <c r="D34">
        <v>6750</v>
      </c>
      <c r="E34" s="2">
        <v>0.54166666666666663</v>
      </c>
      <c r="F34" s="2">
        <v>0.625</v>
      </c>
      <c r="G34" t="s">
        <v>884</v>
      </c>
    </row>
    <row r="35" spans="1:7">
      <c r="A35">
        <v>65</v>
      </c>
      <c r="B35">
        <v>8008</v>
      </c>
      <c r="C35" t="s">
        <v>1035</v>
      </c>
      <c r="D35">
        <v>28800</v>
      </c>
      <c r="E35" s="2">
        <v>0.29166666666666669</v>
      </c>
      <c r="F35" s="2">
        <v>0.64583333333333337</v>
      </c>
      <c r="G35" t="s">
        <v>792</v>
      </c>
    </row>
    <row r="36" spans="1:7">
      <c r="A36">
        <v>33</v>
      </c>
      <c r="B36">
        <v>7142</v>
      </c>
      <c r="C36" t="s">
        <v>1036</v>
      </c>
      <c r="D36">
        <v>13500</v>
      </c>
      <c r="E36" s="2">
        <v>0.29166666666666669</v>
      </c>
      <c r="F36" s="2">
        <v>0.45833333333333331</v>
      </c>
      <c r="G36" t="s">
        <v>793</v>
      </c>
    </row>
    <row r="37" spans="1:7">
      <c r="A37">
        <v>37</v>
      </c>
      <c r="B37">
        <v>7142</v>
      </c>
      <c r="C37" t="s">
        <v>1036</v>
      </c>
      <c r="D37">
        <v>6750</v>
      </c>
      <c r="E37" s="2">
        <v>0.45833333333333331</v>
      </c>
      <c r="F37" s="2">
        <v>0.54166666666666663</v>
      </c>
      <c r="G37" t="s">
        <v>776</v>
      </c>
    </row>
    <row r="38" spans="1:7">
      <c r="A38">
        <v>46</v>
      </c>
      <c r="B38">
        <v>7142</v>
      </c>
      <c r="C38" t="s">
        <v>1036</v>
      </c>
      <c r="D38">
        <v>6750</v>
      </c>
      <c r="E38" s="2">
        <v>0.54166666666666663</v>
      </c>
      <c r="F38" s="2">
        <v>0.625</v>
      </c>
      <c r="G38" t="s">
        <v>884</v>
      </c>
    </row>
  </sheetData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O542"/>
  <sheetViews>
    <sheetView workbookViewId="0">
      <pane ySplit="1" topLeftCell="A2" activePane="bottomLeft" state="frozen"/>
      <selection pane="bottomLeft" activeCell="E2" sqref="E2"/>
    </sheetView>
  </sheetViews>
  <sheetFormatPr defaultRowHeight="12.75"/>
  <sheetData>
    <row r="1" spans="1:15" ht="22.5" thickBot="1">
      <c r="A1" s="29" t="s">
        <v>607</v>
      </c>
      <c r="B1" s="29" t="s">
        <v>1368</v>
      </c>
      <c r="C1" s="29" t="s">
        <v>1369</v>
      </c>
      <c r="D1" s="29" t="s">
        <v>1370</v>
      </c>
      <c r="E1" s="29" t="s">
        <v>1371</v>
      </c>
      <c r="F1" s="29" t="s">
        <v>1372</v>
      </c>
      <c r="G1" s="29" t="s">
        <v>1373</v>
      </c>
      <c r="H1" s="29" t="s">
        <v>1374</v>
      </c>
      <c r="I1" s="29" t="s">
        <v>608</v>
      </c>
      <c r="J1" s="6" t="s">
        <v>136</v>
      </c>
      <c r="K1">
        <v>1933</v>
      </c>
      <c r="L1">
        <v>1937</v>
      </c>
      <c r="M1">
        <v>1946</v>
      </c>
      <c r="N1">
        <v>1915</v>
      </c>
      <c r="O1">
        <v>1965</v>
      </c>
    </row>
    <row r="2" spans="1:15" ht="32.25" thickBot="1">
      <c r="A2" s="30" t="s">
        <v>609</v>
      </c>
      <c r="B2" s="30">
        <v>82.5</v>
      </c>
      <c r="C2" s="30">
        <v>70.67</v>
      </c>
      <c r="D2" s="30">
        <v>96.22</v>
      </c>
      <c r="E2" s="30">
        <v>86.78</v>
      </c>
      <c r="F2" s="30">
        <v>53.73</v>
      </c>
      <c r="G2" s="30"/>
      <c r="H2" s="30"/>
      <c r="I2" s="30">
        <v>389.9</v>
      </c>
      <c r="J2" t="s">
        <v>609</v>
      </c>
      <c r="K2">
        <v>71.28</v>
      </c>
      <c r="L2">
        <v>15.43</v>
      </c>
      <c r="M2">
        <v>9.5</v>
      </c>
      <c r="N2">
        <v>0</v>
      </c>
      <c r="O2">
        <v>0</v>
      </c>
    </row>
    <row r="3" spans="1:15" ht="13.5" thickBot="1">
      <c r="A3" s="31">
        <v>1933</v>
      </c>
      <c r="B3" s="31">
        <v>39.83</v>
      </c>
      <c r="C3" s="31">
        <v>49.18</v>
      </c>
      <c r="D3" s="31">
        <v>71.28</v>
      </c>
      <c r="E3" s="31">
        <v>49</v>
      </c>
      <c r="F3" s="31">
        <v>24.5</v>
      </c>
      <c r="G3" s="31"/>
      <c r="H3" s="31"/>
      <c r="I3" s="31">
        <v>233.8</v>
      </c>
      <c r="J3" t="s">
        <v>611</v>
      </c>
      <c r="K3">
        <v>15.5</v>
      </c>
      <c r="L3">
        <v>0</v>
      </c>
      <c r="M3">
        <v>0</v>
      </c>
      <c r="N3">
        <v>0</v>
      </c>
      <c r="O3">
        <v>0</v>
      </c>
    </row>
    <row r="4" spans="1:15" ht="13.5" thickBot="1">
      <c r="A4" s="31">
        <v>1937</v>
      </c>
      <c r="B4" s="31">
        <v>25</v>
      </c>
      <c r="C4" s="31">
        <v>11.98</v>
      </c>
      <c r="D4" s="31">
        <v>15.43</v>
      </c>
      <c r="E4" s="31">
        <v>25.78</v>
      </c>
      <c r="F4" s="31">
        <v>29.23</v>
      </c>
      <c r="G4" s="31"/>
      <c r="H4" s="31"/>
      <c r="I4" s="31">
        <v>107.43</v>
      </c>
      <c r="J4" t="s">
        <v>613</v>
      </c>
      <c r="K4">
        <v>23</v>
      </c>
      <c r="L4">
        <v>0</v>
      </c>
      <c r="M4">
        <v>0</v>
      </c>
      <c r="N4">
        <v>0</v>
      </c>
      <c r="O4">
        <v>0</v>
      </c>
    </row>
    <row r="5" spans="1:15" ht="13.5" thickBot="1">
      <c r="A5" s="31">
        <v>1946</v>
      </c>
      <c r="B5" s="31">
        <v>17.670000000000002</v>
      </c>
      <c r="C5" s="31">
        <v>9.5</v>
      </c>
      <c r="D5" s="31">
        <v>9.5</v>
      </c>
      <c r="E5" s="31">
        <v>12</v>
      </c>
      <c r="F5" s="31"/>
      <c r="G5" s="31"/>
      <c r="H5" s="31"/>
      <c r="I5" s="31">
        <v>48.67</v>
      </c>
      <c r="J5" t="s">
        <v>614</v>
      </c>
      <c r="K5">
        <v>0.12</v>
      </c>
      <c r="L5">
        <v>2.98</v>
      </c>
      <c r="M5">
        <v>0</v>
      </c>
      <c r="N5">
        <v>0</v>
      </c>
      <c r="O5">
        <v>0</v>
      </c>
    </row>
    <row r="6" spans="1:15" ht="13.5" thickBot="1">
      <c r="A6" s="31">
        <v>1915</v>
      </c>
      <c r="B6" s="31"/>
      <c r="C6" s="31"/>
      <c r="D6" s="31"/>
      <c r="E6" s="31"/>
      <c r="F6" s="31"/>
      <c r="G6" s="31"/>
      <c r="H6" s="31"/>
      <c r="I6" s="31"/>
      <c r="J6" t="s">
        <v>615</v>
      </c>
      <c r="K6">
        <v>0.8</v>
      </c>
      <c r="L6">
        <v>0</v>
      </c>
      <c r="M6">
        <v>0</v>
      </c>
      <c r="N6">
        <v>0</v>
      </c>
      <c r="O6">
        <v>0</v>
      </c>
    </row>
    <row r="7" spans="1:15" ht="13.5" thickBot="1">
      <c r="A7" s="31">
        <v>1965</v>
      </c>
      <c r="B7" s="31"/>
      <c r="C7" s="31"/>
      <c r="D7" s="31"/>
      <c r="E7" s="31"/>
      <c r="F7" s="31"/>
      <c r="G7" s="31"/>
      <c r="H7" s="31"/>
      <c r="I7" s="31"/>
      <c r="J7" t="s">
        <v>621</v>
      </c>
      <c r="K7">
        <v>13.46</v>
      </c>
      <c r="L7">
        <v>0.33</v>
      </c>
      <c r="M7">
        <v>0</v>
      </c>
      <c r="N7">
        <v>0</v>
      </c>
      <c r="O7">
        <v>0</v>
      </c>
    </row>
    <row r="8" spans="1:15" ht="32.25" thickBot="1">
      <c r="A8" s="30" t="s">
        <v>610</v>
      </c>
      <c r="B8" s="30">
        <v>67.03</v>
      </c>
      <c r="C8" s="30">
        <v>56.15</v>
      </c>
      <c r="D8" s="30">
        <v>68.849999999999994</v>
      </c>
      <c r="E8" s="30">
        <v>63.58</v>
      </c>
      <c r="F8" s="30">
        <v>46.5</v>
      </c>
      <c r="G8" s="30"/>
      <c r="H8" s="30"/>
      <c r="I8" s="30">
        <v>302.12</v>
      </c>
      <c r="J8" t="s">
        <v>622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ht="13.5" thickBot="1">
      <c r="A9" s="31">
        <v>1933</v>
      </c>
      <c r="B9" s="31">
        <v>29.03</v>
      </c>
      <c r="C9" s="31">
        <v>28.23</v>
      </c>
      <c r="D9" s="31">
        <v>15</v>
      </c>
      <c r="E9" s="31">
        <v>21</v>
      </c>
      <c r="F9" s="31">
        <v>33</v>
      </c>
      <c r="G9" s="31"/>
      <c r="H9" s="31"/>
      <c r="I9" s="31">
        <v>126.27</v>
      </c>
      <c r="J9" t="s">
        <v>631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ht="13.5" thickBot="1">
      <c r="A10" s="31">
        <v>1937</v>
      </c>
      <c r="B10" s="31">
        <v>13.5</v>
      </c>
      <c r="C10" s="31"/>
      <c r="D10" s="31"/>
      <c r="E10" s="31">
        <v>18.100000000000001</v>
      </c>
      <c r="F10" s="31">
        <v>6</v>
      </c>
      <c r="G10" s="31"/>
      <c r="H10" s="31"/>
      <c r="I10" s="31">
        <v>37.6</v>
      </c>
      <c r="J10" t="s">
        <v>633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ht="13.5" thickBot="1">
      <c r="A11" s="31">
        <v>1946</v>
      </c>
      <c r="B11" s="31">
        <v>17</v>
      </c>
      <c r="C11" s="31">
        <v>6</v>
      </c>
      <c r="D11" s="31">
        <v>16.350000000000001</v>
      </c>
      <c r="E11" s="31"/>
      <c r="F11" s="31"/>
      <c r="G11" s="31"/>
      <c r="H11" s="31"/>
      <c r="I11" s="31">
        <v>39.35</v>
      </c>
      <c r="J11" t="s">
        <v>634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ht="13.5" thickBot="1">
      <c r="A12" s="31">
        <v>1915</v>
      </c>
      <c r="B12" s="31"/>
      <c r="C12" s="31"/>
      <c r="D12" s="31"/>
      <c r="E12" s="31"/>
      <c r="F12" s="31"/>
      <c r="G12" s="31"/>
      <c r="H12" s="31"/>
      <c r="I12" s="31"/>
      <c r="J12" t="s">
        <v>636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ht="13.5" thickBot="1">
      <c r="A13" s="31">
        <v>1965</v>
      </c>
      <c r="B13" s="31"/>
      <c r="C13" s="31"/>
      <c r="D13" s="31"/>
      <c r="E13" s="31"/>
      <c r="F13" s="31"/>
      <c r="G13" s="31"/>
      <c r="H13" s="31"/>
      <c r="I13" s="31"/>
      <c r="J13" t="s">
        <v>639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ht="32.25" thickBot="1">
      <c r="A14" s="30" t="s">
        <v>611</v>
      </c>
      <c r="B14" s="30">
        <v>33.47</v>
      </c>
      <c r="C14" s="30">
        <v>25</v>
      </c>
      <c r="D14" s="30">
        <v>15.5</v>
      </c>
      <c r="E14" s="30">
        <v>51.5</v>
      </c>
      <c r="F14" s="30">
        <v>36</v>
      </c>
      <c r="G14" s="30"/>
      <c r="H14" s="30"/>
      <c r="I14" s="30">
        <v>161.47</v>
      </c>
      <c r="J14" t="s">
        <v>643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ht="13.5" thickBot="1">
      <c r="A15" s="31">
        <v>1933</v>
      </c>
      <c r="B15" s="31">
        <v>23.97</v>
      </c>
      <c r="C15" s="31">
        <v>25</v>
      </c>
      <c r="D15" s="31">
        <v>15.5</v>
      </c>
      <c r="E15" s="31">
        <v>32.5</v>
      </c>
      <c r="F15" s="31">
        <v>17</v>
      </c>
      <c r="G15" s="31"/>
      <c r="H15" s="31"/>
      <c r="I15" s="31">
        <v>113.97</v>
      </c>
      <c r="J15" t="s">
        <v>654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ht="13.5" thickBot="1">
      <c r="A16" s="31">
        <v>1937</v>
      </c>
      <c r="B16" s="31">
        <v>9.5</v>
      </c>
      <c r="C16" s="31"/>
      <c r="D16" s="31"/>
      <c r="E16" s="31"/>
      <c r="F16" s="31">
        <v>19</v>
      </c>
      <c r="G16" s="31"/>
      <c r="H16" s="31"/>
      <c r="I16" s="31">
        <v>28.5</v>
      </c>
      <c r="J16" t="s">
        <v>677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ht="13.5" thickBot="1">
      <c r="A17" s="31">
        <v>1946</v>
      </c>
      <c r="B17" s="31"/>
      <c r="C17" s="31"/>
      <c r="D17" s="31"/>
      <c r="E17" s="31">
        <v>19</v>
      </c>
      <c r="F17" s="31"/>
      <c r="G17" s="31"/>
      <c r="H17" s="31"/>
      <c r="I17" s="31">
        <v>19</v>
      </c>
      <c r="J17" t="s">
        <v>678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ht="13.5" thickBot="1">
      <c r="A18" s="31">
        <v>1915</v>
      </c>
      <c r="B18" s="31"/>
      <c r="C18" s="31"/>
      <c r="D18" s="31"/>
      <c r="E18" s="31"/>
      <c r="F18" s="31"/>
      <c r="G18" s="31"/>
      <c r="H18" s="31"/>
      <c r="I18" s="31"/>
      <c r="J18" t="s">
        <v>679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ht="13.5" thickBot="1">
      <c r="A19" s="31">
        <v>1965</v>
      </c>
      <c r="B19" s="31"/>
      <c r="C19" s="31"/>
      <c r="D19" s="31"/>
      <c r="E19" s="31"/>
      <c r="F19" s="31"/>
      <c r="G19" s="31"/>
      <c r="H19" s="31"/>
      <c r="I19" s="31"/>
    </row>
    <row r="20" spans="1:15" ht="32.25" thickBot="1">
      <c r="A20" s="30" t="s">
        <v>612</v>
      </c>
      <c r="B20" s="30">
        <v>38.729999999999997</v>
      </c>
      <c r="C20" s="30">
        <v>12.5</v>
      </c>
      <c r="D20" s="30">
        <v>17.5</v>
      </c>
      <c r="E20" s="30">
        <v>5.37</v>
      </c>
      <c r="F20" s="30"/>
      <c r="G20" s="30"/>
      <c r="H20" s="30"/>
      <c r="I20" s="30">
        <v>74.099999999999994</v>
      </c>
    </row>
    <row r="21" spans="1:15" ht="13.5" thickBot="1">
      <c r="A21" s="31">
        <v>1933</v>
      </c>
      <c r="B21" s="31">
        <v>31.23</v>
      </c>
      <c r="C21" s="31"/>
      <c r="D21" s="31"/>
      <c r="E21" s="31">
        <v>5.37</v>
      </c>
      <c r="F21" s="31"/>
      <c r="G21" s="31"/>
      <c r="H21" s="31"/>
      <c r="I21" s="31">
        <v>36.6</v>
      </c>
    </row>
    <row r="22" spans="1:15" ht="13.5" thickBot="1">
      <c r="A22" s="31">
        <v>1937</v>
      </c>
      <c r="B22" s="31"/>
      <c r="C22" s="31">
        <v>8</v>
      </c>
      <c r="D22" s="31">
        <v>0.5</v>
      </c>
      <c r="E22" s="31"/>
      <c r="F22" s="31"/>
      <c r="G22" s="31"/>
      <c r="H22" s="31"/>
      <c r="I22" s="31">
        <v>8.5</v>
      </c>
    </row>
    <row r="23" spans="1:15" ht="13.5" thickBot="1">
      <c r="A23" s="31">
        <v>1946</v>
      </c>
      <c r="B23" s="31"/>
      <c r="C23" s="31">
        <v>4.5</v>
      </c>
      <c r="D23" s="31">
        <v>9.5</v>
      </c>
      <c r="E23" s="31"/>
      <c r="F23" s="31"/>
      <c r="G23" s="31"/>
      <c r="H23" s="31"/>
      <c r="I23" s="31">
        <v>14</v>
      </c>
    </row>
    <row r="24" spans="1:15" ht="13.5" thickBot="1">
      <c r="A24" s="31">
        <v>1915</v>
      </c>
      <c r="B24" s="31"/>
      <c r="C24" s="31"/>
      <c r="D24" s="31"/>
      <c r="E24" s="31"/>
      <c r="F24" s="31"/>
      <c r="G24" s="31"/>
      <c r="H24" s="31"/>
      <c r="I24" s="31"/>
    </row>
    <row r="25" spans="1:15" ht="13.5" thickBot="1">
      <c r="A25" s="31">
        <v>1965</v>
      </c>
      <c r="B25" s="31"/>
      <c r="C25" s="31"/>
      <c r="D25" s="31"/>
      <c r="E25" s="31"/>
      <c r="F25" s="31"/>
      <c r="G25" s="31"/>
      <c r="H25" s="31"/>
      <c r="I25" s="31"/>
    </row>
    <row r="26" spans="1:15" ht="32.25" thickBot="1">
      <c r="A26" s="30" t="s">
        <v>613</v>
      </c>
      <c r="B26" s="30">
        <v>15.5</v>
      </c>
      <c r="C26" s="30">
        <v>22.5</v>
      </c>
      <c r="D26" s="30">
        <v>23</v>
      </c>
      <c r="E26" s="30">
        <v>7.5</v>
      </c>
      <c r="F26" s="30">
        <v>31</v>
      </c>
      <c r="G26" s="30"/>
      <c r="H26" s="30"/>
      <c r="I26" s="30">
        <v>99.5</v>
      </c>
    </row>
    <row r="27" spans="1:15" ht="13.5" thickBot="1">
      <c r="A27" s="31">
        <v>1933</v>
      </c>
      <c r="B27" s="31">
        <v>8</v>
      </c>
      <c r="C27" s="31">
        <v>15</v>
      </c>
      <c r="D27" s="31">
        <v>23</v>
      </c>
      <c r="E27" s="31">
        <v>7.5</v>
      </c>
      <c r="F27" s="31">
        <v>15.5</v>
      </c>
      <c r="G27" s="31"/>
      <c r="H27" s="31"/>
      <c r="I27" s="31">
        <v>69</v>
      </c>
    </row>
    <row r="28" spans="1:15" ht="13.5" thickBot="1">
      <c r="A28" s="31">
        <v>1937</v>
      </c>
      <c r="B28" s="31"/>
      <c r="C28" s="31">
        <v>7.5</v>
      </c>
      <c r="D28" s="31"/>
      <c r="E28" s="31"/>
      <c r="F28" s="31">
        <v>9.5</v>
      </c>
      <c r="G28" s="31"/>
      <c r="H28" s="31"/>
      <c r="I28" s="31">
        <v>17</v>
      </c>
    </row>
    <row r="29" spans="1:15" ht="13.5" thickBot="1">
      <c r="A29" s="31">
        <v>1946</v>
      </c>
      <c r="B29" s="31">
        <v>7.5</v>
      </c>
      <c r="C29" s="31"/>
      <c r="D29" s="31"/>
      <c r="E29" s="31"/>
      <c r="F29" s="31">
        <v>6</v>
      </c>
      <c r="G29" s="31"/>
      <c r="H29" s="31"/>
      <c r="I29" s="31">
        <v>13.5</v>
      </c>
    </row>
    <row r="30" spans="1:15" ht="13.5" thickBot="1">
      <c r="A30" s="31">
        <v>1915</v>
      </c>
      <c r="B30" s="31"/>
      <c r="C30" s="31"/>
      <c r="D30" s="31"/>
      <c r="E30" s="31"/>
      <c r="F30" s="31"/>
      <c r="G30" s="31"/>
      <c r="H30" s="31"/>
      <c r="I30" s="31"/>
    </row>
    <row r="31" spans="1:15" ht="13.5" thickBot="1">
      <c r="A31" s="31">
        <v>1965</v>
      </c>
      <c r="B31" s="31"/>
      <c r="C31" s="31"/>
      <c r="D31" s="31"/>
      <c r="E31" s="31"/>
      <c r="F31" s="31"/>
      <c r="G31" s="31"/>
      <c r="H31" s="31"/>
      <c r="I31" s="31"/>
    </row>
    <row r="32" spans="1:15" ht="13.5" thickBot="1">
      <c r="A32" s="30" t="s">
        <v>614</v>
      </c>
      <c r="B32" s="30">
        <v>1.1200000000000001</v>
      </c>
      <c r="C32" s="30">
        <v>2.62</v>
      </c>
      <c r="D32" s="30">
        <v>4.9000000000000004</v>
      </c>
      <c r="E32" s="30">
        <v>0.43</v>
      </c>
      <c r="F32" s="30">
        <v>4.83</v>
      </c>
      <c r="G32" s="30"/>
      <c r="H32" s="30"/>
      <c r="I32" s="30">
        <v>13.9</v>
      </c>
    </row>
    <row r="33" spans="1:9" ht="13.5" thickBot="1">
      <c r="A33" s="31">
        <v>1933</v>
      </c>
      <c r="B33" s="31">
        <v>1.1200000000000001</v>
      </c>
      <c r="C33" s="31">
        <v>2.12</v>
      </c>
      <c r="D33" s="31">
        <v>0.12</v>
      </c>
      <c r="E33" s="31"/>
      <c r="F33" s="31">
        <v>2.62</v>
      </c>
      <c r="G33" s="31"/>
      <c r="H33" s="31"/>
      <c r="I33" s="31">
        <v>5.97</v>
      </c>
    </row>
    <row r="34" spans="1:9" ht="13.5" thickBot="1">
      <c r="A34" s="31">
        <v>1937</v>
      </c>
      <c r="B34" s="31"/>
      <c r="C34" s="31">
        <v>0.5</v>
      </c>
      <c r="D34" s="31">
        <v>2.98</v>
      </c>
      <c r="E34" s="31">
        <v>0.02</v>
      </c>
      <c r="F34" s="31"/>
      <c r="G34" s="31"/>
      <c r="H34" s="31"/>
      <c r="I34" s="31">
        <v>3.5</v>
      </c>
    </row>
    <row r="35" spans="1:9" ht="13.5" thickBot="1">
      <c r="A35" s="31">
        <v>1946</v>
      </c>
      <c r="B35" s="31"/>
      <c r="C35" s="31"/>
      <c r="D35" s="31"/>
      <c r="E35" s="31"/>
      <c r="F35" s="31"/>
      <c r="G35" s="31"/>
      <c r="H35" s="31"/>
      <c r="I35" s="31"/>
    </row>
    <row r="36" spans="1:9" ht="13.5" thickBot="1">
      <c r="A36" s="31">
        <v>1915</v>
      </c>
      <c r="B36" s="31"/>
      <c r="C36" s="31"/>
      <c r="D36" s="31"/>
      <c r="E36" s="31"/>
      <c r="F36" s="31"/>
      <c r="G36" s="31"/>
      <c r="H36" s="31"/>
      <c r="I36" s="31"/>
    </row>
    <row r="37" spans="1:9" ht="13.5" thickBot="1">
      <c r="A37" s="31">
        <v>1965</v>
      </c>
      <c r="B37" s="31"/>
      <c r="C37" s="31"/>
      <c r="D37" s="31"/>
      <c r="E37" s="31"/>
      <c r="F37" s="31"/>
      <c r="G37" s="31"/>
      <c r="H37" s="31"/>
      <c r="I37" s="31"/>
    </row>
    <row r="38" spans="1:9" ht="21.75" thickBot="1">
      <c r="A38" s="30" t="s">
        <v>615</v>
      </c>
      <c r="B38" s="30">
        <v>6.98</v>
      </c>
      <c r="C38" s="30">
        <v>19.57</v>
      </c>
      <c r="D38" s="30">
        <v>9.3699999999999992</v>
      </c>
      <c r="E38" s="30">
        <v>28.02</v>
      </c>
      <c r="F38" s="30">
        <v>4.0999999999999996</v>
      </c>
      <c r="G38" s="30"/>
      <c r="H38" s="30"/>
      <c r="I38" s="30">
        <v>68.03</v>
      </c>
    </row>
    <row r="39" spans="1:9" ht="13.5" thickBot="1">
      <c r="A39" s="31">
        <v>1933</v>
      </c>
      <c r="B39" s="31">
        <v>2.98</v>
      </c>
      <c r="C39" s="31">
        <v>0.5</v>
      </c>
      <c r="D39" s="31">
        <v>0.8</v>
      </c>
      <c r="E39" s="31"/>
      <c r="F39" s="31"/>
      <c r="G39" s="31"/>
      <c r="H39" s="31"/>
      <c r="I39" s="31">
        <v>4.28</v>
      </c>
    </row>
    <row r="40" spans="1:9" ht="13.5" thickBot="1">
      <c r="A40" s="31">
        <v>1937</v>
      </c>
      <c r="B40" s="31"/>
      <c r="C40" s="31"/>
      <c r="D40" s="31"/>
      <c r="E40" s="31"/>
      <c r="F40" s="31"/>
      <c r="G40" s="31"/>
      <c r="H40" s="31"/>
      <c r="I40" s="31"/>
    </row>
    <row r="41" spans="1:9" ht="13.5" thickBot="1">
      <c r="A41" s="31">
        <v>1946</v>
      </c>
      <c r="B41" s="31">
        <v>4</v>
      </c>
      <c r="C41" s="31"/>
      <c r="D41" s="31"/>
      <c r="E41" s="31">
        <v>5.97</v>
      </c>
      <c r="F41" s="31"/>
      <c r="G41" s="31"/>
      <c r="H41" s="31"/>
      <c r="I41" s="31">
        <v>9.9700000000000006</v>
      </c>
    </row>
    <row r="42" spans="1:9" ht="13.5" thickBot="1">
      <c r="A42" s="31">
        <v>1915</v>
      </c>
      <c r="B42" s="31"/>
      <c r="C42" s="31"/>
      <c r="D42" s="31"/>
      <c r="E42" s="31"/>
      <c r="F42" s="31"/>
      <c r="G42" s="31"/>
      <c r="H42" s="31"/>
      <c r="I42" s="31"/>
    </row>
    <row r="43" spans="1:9" ht="13.5" thickBot="1">
      <c r="A43" s="31">
        <v>1965</v>
      </c>
      <c r="B43" s="31"/>
      <c r="C43" s="31"/>
      <c r="D43" s="31"/>
      <c r="E43" s="31"/>
      <c r="F43" s="31"/>
      <c r="G43" s="31"/>
      <c r="H43" s="31"/>
      <c r="I43" s="31"/>
    </row>
    <row r="44" spans="1:9" ht="13.5" thickBot="1">
      <c r="A44" s="30" t="s">
        <v>616</v>
      </c>
      <c r="B44" s="30"/>
      <c r="C44" s="30"/>
      <c r="D44" s="30"/>
      <c r="E44" s="30"/>
      <c r="F44" s="30"/>
      <c r="G44" s="30"/>
      <c r="H44" s="30"/>
      <c r="I44" s="30"/>
    </row>
    <row r="45" spans="1:9" ht="13.5" thickBot="1">
      <c r="A45" s="31">
        <v>1933</v>
      </c>
      <c r="B45" s="31"/>
      <c r="C45" s="31"/>
      <c r="D45" s="31"/>
      <c r="E45" s="31"/>
      <c r="F45" s="31"/>
      <c r="G45" s="31"/>
      <c r="H45" s="31"/>
      <c r="I45" s="31"/>
    </row>
    <row r="46" spans="1:9" ht="13.5" thickBot="1">
      <c r="A46" s="31">
        <v>1937</v>
      </c>
      <c r="B46" s="31"/>
      <c r="C46" s="31"/>
      <c r="D46" s="31"/>
      <c r="E46" s="31"/>
      <c r="F46" s="31"/>
      <c r="G46" s="31"/>
      <c r="H46" s="31"/>
      <c r="I46" s="31"/>
    </row>
    <row r="47" spans="1:9" ht="13.5" thickBot="1">
      <c r="A47" s="31">
        <v>1946</v>
      </c>
      <c r="B47" s="31"/>
      <c r="C47" s="31"/>
      <c r="D47" s="31"/>
      <c r="E47" s="31"/>
      <c r="F47" s="31"/>
      <c r="G47" s="31"/>
      <c r="H47" s="31"/>
      <c r="I47" s="31"/>
    </row>
    <row r="48" spans="1:9" ht="13.5" thickBot="1">
      <c r="A48" s="31">
        <v>1915</v>
      </c>
      <c r="B48" s="31"/>
      <c r="C48" s="31"/>
      <c r="D48" s="31"/>
      <c r="E48" s="31"/>
      <c r="F48" s="31"/>
      <c r="G48" s="31"/>
      <c r="H48" s="31"/>
      <c r="I48" s="31"/>
    </row>
    <row r="49" spans="1:9" ht="13.5" thickBot="1">
      <c r="A49" s="31">
        <v>1965</v>
      </c>
      <c r="B49" s="31"/>
      <c r="C49" s="31"/>
      <c r="D49" s="31"/>
      <c r="E49" s="31"/>
      <c r="F49" s="31"/>
      <c r="G49" s="31"/>
      <c r="H49" s="31"/>
      <c r="I49" s="31"/>
    </row>
    <row r="50" spans="1:9" ht="21.75" thickBot="1">
      <c r="A50" s="30" t="s">
        <v>617</v>
      </c>
      <c r="B50" s="30">
        <v>9.5</v>
      </c>
      <c r="C50" s="30">
        <v>29</v>
      </c>
      <c r="D50" s="30">
        <v>9.5</v>
      </c>
      <c r="E50" s="30">
        <v>9.5</v>
      </c>
      <c r="F50" s="30"/>
      <c r="G50" s="30"/>
      <c r="H50" s="30">
        <v>7.5</v>
      </c>
      <c r="I50" s="30">
        <v>65</v>
      </c>
    </row>
    <row r="51" spans="1:9" ht="13.5" thickBot="1">
      <c r="A51" s="31">
        <v>1933</v>
      </c>
      <c r="B51" s="31"/>
      <c r="C51" s="31">
        <v>23</v>
      </c>
      <c r="D51" s="31"/>
      <c r="E51" s="31">
        <v>9.5</v>
      </c>
      <c r="F51" s="31"/>
      <c r="G51" s="31"/>
      <c r="H51" s="31"/>
      <c r="I51" s="31">
        <v>32.5</v>
      </c>
    </row>
    <row r="52" spans="1:9" ht="13.5" thickBot="1">
      <c r="A52" s="31">
        <v>1937</v>
      </c>
      <c r="B52" s="31"/>
      <c r="C52" s="31"/>
      <c r="D52" s="31">
        <v>9.5</v>
      </c>
      <c r="E52" s="31"/>
      <c r="F52" s="31"/>
      <c r="G52" s="31"/>
      <c r="H52" s="31"/>
      <c r="I52" s="31">
        <v>9.5</v>
      </c>
    </row>
    <row r="53" spans="1:9" ht="13.5" thickBot="1">
      <c r="A53" s="31">
        <v>1946</v>
      </c>
      <c r="B53" s="31">
        <v>9.5</v>
      </c>
      <c r="C53" s="31"/>
      <c r="D53" s="31"/>
      <c r="E53" s="31"/>
      <c r="F53" s="31"/>
      <c r="G53" s="31"/>
      <c r="H53" s="31"/>
      <c r="I53" s="31">
        <v>9.5</v>
      </c>
    </row>
    <row r="54" spans="1:9" ht="13.5" thickBot="1">
      <c r="A54" s="31">
        <v>1915</v>
      </c>
      <c r="B54" s="31"/>
      <c r="C54" s="31"/>
      <c r="D54" s="31"/>
      <c r="E54" s="31"/>
      <c r="F54" s="31"/>
      <c r="G54" s="31"/>
      <c r="H54" s="31"/>
      <c r="I54" s="31"/>
    </row>
    <row r="55" spans="1:9" ht="13.5" thickBot="1">
      <c r="A55" s="31">
        <v>1965</v>
      </c>
      <c r="B55" s="31"/>
      <c r="C55" s="31">
        <v>6</v>
      </c>
      <c r="D55" s="31"/>
      <c r="E55" s="31"/>
      <c r="F55" s="31"/>
      <c r="G55" s="31"/>
      <c r="H55" s="31">
        <v>7.5</v>
      </c>
      <c r="I55" s="31">
        <v>13.5</v>
      </c>
    </row>
    <row r="56" spans="1:9" ht="21.75" thickBot="1">
      <c r="A56" s="30" t="s">
        <v>618</v>
      </c>
      <c r="B56" s="30">
        <v>159</v>
      </c>
      <c r="C56" s="30">
        <v>210.5</v>
      </c>
      <c r="D56" s="30">
        <v>232</v>
      </c>
      <c r="E56" s="30">
        <v>293.5</v>
      </c>
      <c r="F56" s="30">
        <v>279</v>
      </c>
      <c r="G56" s="30">
        <v>172.5</v>
      </c>
      <c r="H56" s="30">
        <v>27.5</v>
      </c>
      <c r="I56" s="34">
        <v>1374</v>
      </c>
    </row>
    <row r="57" spans="1:9" ht="13.5" thickBot="1">
      <c r="A57" s="31">
        <v>1933</v>
      </c>
      <c r="B57" s="31">
        <v>101</v>
      </c>
      <c r="C57" s="31">
        <v>124.5</v>
      </c>
      <c r="D57" s="31">
        <v>180.5</v>
      </c>
      <c r="E57" s="31">
        <v>192</v>
      </c>
      <c r="F57" s="31">
        <v>170</v>
      </c>
      <c r="G57" s="31">
        <v>84</v>
      </c>
      <c r="H57" s="31">
        <v>8.5</v>
      </c>
      <c r="I57" s="31">
        <v>860.5</v>
      </c>
    </row>
    <row r="58" spans="1:9" ht="13.5" thickBot="1">
      <c r="A58" s="31">
        <v>1937</v>
      </c>
      <c r="B58" s="31">
        <v>23</v>
      </c>
      <c r="C58" s="31">
        <v>48</v>
      </c>
      <c r="D58" s="31">
        <v>25</v>
      </c>
      <c r="E58" s="31">
        <v>38</v>
      </c>
      <c r="F58" s="31">
        <v>56</v>
      </c>
      <c r="G58" s="31">
        <v>44</v>
      </c>
      <c r="H58" s="31"/>
      <c r="I58" s="31">
        <v>234</v>
      </c>
    </row>
    <row r="59" spans="1:9" ht="13.5" thickBot="1">
      <c r="A59" s="31">
        <v>1946</v>
      </c>
      <c r="B59" s="31">
        <v>17.5</v>
      </c>
      <c r="C59" s="31">
        <v>28.5</v>
      </c>
      <c r="D59" s="31">
        <v>9.5</v>
      </c>
      <c r="E59" s="31">
        <v>37</v>
      </c>
      <c r="F59" s="31">
        <v>45.5</v>
      </c>
      <c r="G59" s="31">
        <v>35</v>
      </c>
      <c r="H59" s="31">
        <v>19</v>
      </c>
      <c r="I59" s="31">
        <v>192</v>
      </c>
    </row>
    <row r="60" spans="1:9" ht="13.5" thickBot="1">
      <c r="A60" s="31">
        <v>1915</v>
      </c>
      <c r="B60" s="31"/>
      <c r="C60" s="31"/>
      <c r="D60" s="31"/>
      <c r="E60" s="31"/>
      <c r="F60" s="31"/>
      <c r="G60" s="31"/>
      <c r="H60" s="31"/>
      <c r="I60" s="31"/>
    </row>
    <row r="61" spans="1:9" ht="13.5" thickBot="1">
      <c r="A61" s="31">
        <v>1965</v>
      </c>
      <c r="B61" s="31">
        <v>17.5</v>
      </c>
      <c r="C61" s="31">
        <v>9.5</v>
      </c>
      <c r="D61" s="31">
        <v>17</v>
      </c>
      <c r="E61" s="31">
        <v>26.5</v>
      </c>
      <c r="F61" s="31">
        <v>7.5</v>
      </c>
      <c r="G61" s="31"/>
      <c r="H61" s="31"/>
      <c r="I61" s="31">
        <v>78</v>
      </c>
    </row>
    <row r="62" spans="1:9" ht="21.75" thickBot="1">
      <c r="A62" s="30" t="s">
        <v>619</v>
      </c>
      <c r="B62" s="30">
        <v>17.5</v>
      </c>
      <c r="C62" s="30">
        <v>9.5</v>
      </c>
      <c r="D62" s="30"/>
      <c r="E62" s="30">
        <v>9.5</v>
      </c>
      <c r="F62" s="30">
        <v>9.5</v>
      </c>
      <c r="G62" s="30"/>
      <c r="H62" s="30">
        <v>8</v>
      </c>
      <c r="I62" s="30">
        <v>54</v>
      </c>
    </row>
    <row r="63" spans="1:9" ht="13.5" thickBot="1">
      <c r="A63" s="31">
        <v>1933</v>
      </c>
      <c r="B63" s="31"/>
      <c r="C63" s="31"/>
      <c r="D63" s="31"/>
      <c r="E63" s="31"/>
      <c r="F63" s="31"/>
      <c r="G63" s="31"/>
      <c r="H63" s="31">
        <v>8</v>
      </c>
      <c r="I63" s="31">
        <v>8</v>
      </c>
    </row>
    <row r="64" spans="1:9" ht="13.5" thickBot="1">
      <c r="A64" s="31">
        <v>1937</v>
      </c>
      <c r="B64" s="31"/>
      <c r="C64" s="31"/>
      <c r="D64" s="31"/>
      <c r="E64" s="31"/>
      <c r="F64" s="31"/>
      <c r="G64" s="31"/>
      <c r="H64" s="31"/>
      <c r="I64" s="31"/>
    </row>
    <row r="65" spans="1:9" ht="13.5" thickBot="1">
      <c r="A65" s="31">
        <v>1946</v>
      </c>
      <c r="B65" s="31">
        <v>9.5</v>
      </c>
      <c r="C65" s="31">
        <v>9.5</v>
      </c>
      <c r="D65" s="31"/>
      <c r="E65" s="31">
        <v>9.5</v>
      </c>
      <c r="F65" s="31">
        <v>9.5</v>
      </c>
      <c r="G65" s="31"/>
      <c r="H65" s="31"/>
      <c r="I65" s="31">
        <v>38</v>
      </c>
    </row>
    <row r="66" spans="1:9" ht="13.5" thickBot="1">
      <c r="A66" s="31">
        <v>1915</v>
      </c>
      <c r="B66" s="31"/>
      <c r="C66" s="31"/>
      <c r="D66" s="31"/>
      <c r="E66" s="31"/>
      <c r="F66" s="31"/>
      <c r="G66" s="31"/>
      <c r="H66" s="31"/>
      <c r="I66" s="31"/>
    </row>
    <row r="67" spans="1:9" ht="13.5" thickBot="1">
      <c r="A67" s="31">
        <v>1965</v>
      </c>
      <c r="B67" s="31">
        <v>8</v>
      </c>
      <c r="C67" s="31"/>
      <c r="D67" s="31"/>
      <c r="E67" s="31"/>
      <c r="F67" s="31"/>
      <c r="G67" s="31"/>
      <c r="H67" s="31"/>
      <c r="I67" s="31">
        <v>8</v>
      </c>
    </row>
    <row r="68" spans="1:9" ht="21.75" thickBot="1">
      <c r="A68" s="30" t="s">
        <v>620</v>
      </c>
      <c r="B68" s="30">
        <v>43.5</v>
      </c>
      <c r="C68" s="30">
        <v>25</v>
      </c>
      <c r="D68" s="30">
        <v>30</v>
      </c>
      <c r="E68" s="30">
        <v>57</v>
      </c>
      <c r="F68" s="30">
        <v>87.5</v>
      </c>
      <c r="G68" s="30">
        <v>66</v>
      </c>
      <c r="H68" s="30"/>
      <c r="I68" s="30">
        <v>309</v>
      </c>
    </row>
    <row r="69" spans="1:9" ht="13.5" thickBot="1">
      <c r="A69" s="31">
        <v>1933</v>
      </c>
      <c r="B69" s="31">
        <v>22.5</v>
      </c>
      <c r="C69" s="31">
        <v>6</v>
      </c>
      <c r="D69" s="31">
        <v>7.5</v>
      </c>
      <c r="E69" s="31">
        <v>13.5</v>
      </c>
      <c r="F69" s="31">
        <v>15</v>
      </c>
      <c r="G69" s="31"/>
      <c r="H69" s="31"/>
      <c r="I69" s="31">
        <v>64.5</v>
      </c>
    </row>
    <row r="70" spans="1:9" ht="13.5" thickBot="1">
      <c r="A70" s="31">
        <v>1937</v>
      </c>
      <c r="B70" s="31">
        <v>7.5</v>
      </c>
      <c r="C70" s="31"/>
      <c r="D70" s="31"/>
      <c r="E70" s="31"/>
      <c r="F70" s="31">
        <v>7.5</v>
      </c>
      <c r="G70" s="31">
        <v>7.5</v>
      </c>
      <c r="H70" s="31"/>
      <c r="I70" s="31">
        <v>22.5</v>
      </c>
    </row>
    <row r="71" spans="1:9" ht="13.5" thickBot="1">
      <c r="A71" s="31">
        <v>1946</v>
      </c>
      <c r="B71" s="31">
        <v>7.5</v>
      </c>
      <c r="C71" s="31"/>
      <c r="D71" s="31"/>
      <c r="E71" s="31"/>
      <c r="F71" s="31"/>
      <c r="G71" s="31"/>
      <c r="H71" s="31"/>
      <c r="I71" s="31">
        <v>7.5</v>
      </c>
    </row>
    <row r="72" spans="1:9" ht="13.5" thickBot="1">
      <c r="A72" s="31">
        <v>1915</v>
      </c>
      <c r="B72" s="31"/>
      <c r="C72" s="31"/>
      <c r="D72" s="31"/>
      <c r="E72" s="31"/>
      <c r="F72" s="31"/>
      <c r="G72" s="31"/>
      <c r="H72" s="31"/>
      <c r="I72" s="31"/>
    </row>
    <row r="73" spans="1:9" ht="13.5" thickBot="1">
      <c r="A73" s="31">
        <v>1965</v>
      </c>
      <c r="B73" s="31"/>
      <c r="C73" s="31"/>
      <c r="D73" s="31"/>
      <c r="E73" s="31"/>
      <c r="F73" s="31"/>
      <c r="G73" s="31"/>
      <c r="H73" s="31"/>
      <c r="I73" s="31"/>
    </row>
    <row r="74" spans="1:9" ht="42.75" thickBot="1">
      <c r="A74" s="30" t="s">
        <v>621</v>
      </c>
      <c r="B74" s="30">
        <v>22.5</v>
      </c>
      <c r="C74" s="30"/>
      <c r="D74" s="30">
        <v>58.8</v>
      </c>
      <c r="E74" s="30">
        <v>56.5</v>
      </c>
      <c r="F74" s="30"/>
      <c r="G74" s="30"/>
      <c r="H74" s="30"/>
      <c r="I74" s="30">
        <v>137.80000000000001</v>
      </c>
    </row>
    <row r="75" spans="1:9" ht="13.5" thickBot="1">
      <c r="A75" s="31">
        <v>1933</v>
      </c>
      <c r="B75" s="31">
        <v>22.5</v>
      </c>
      <c r="C75" s="31"/>
      <c r="D75" s="31">
        <v>13.46</v>
      </c>
      <c r="E75" s="31">
        <v>9.5</v>
      </c>
      <c r="F75" s="31"/>
      <c r="G75" s="31"/>
      <c r="H75" s="31"/>
      <c r="I75" s="31">
        <v>45.46</v>
      </c>
    </row>
    <row r="76" spans="1:9" ht="13.5" thickBot="1">
      <c r="A76" s="31">
        <v>1937</v>
      </c>
      <c r="B76" s="31"/>
      <c r="C76" s="31"/>
      <c r="D76" s="31">
        <v>0.33</v>
      </c>
      <c r="E76" s="31">
        <v>9.5</v>
      </c>
      <c r="F76" s="31"/>
      <c r="G76" s="31"/>
      <c r="H76" s="31"/>
      <c r="I76" s="31">
        <v>9.83</v>
      </c>
    </row>
    <row r="77" spans="1:9" ht="13.5" thickBot="1">
      <c r="A77" s="31">
        <v>1946</v>
      </c>
      <c r="B77" s="31"/>
      <c r="C77" s="31"/>
      <c r="D77" s="31"/>
      <c r="E77" s="31"/>
      <c r="F77" s="31"/>
      <c r="G77" s="31"/>
      <c r="H77" s="31"/>
      <c r="I77" s="31"/>
    </row>
    <row r="78" spans="1:9" ht="13.5" thickBot="1">
      <c r="A78" s="31">
        <v>1915</v>
      </c>
      <c r="B78" s="31"/>
      <c r="C78" s="31"/>
      <c r="D78" s="31"/>
      <c r="E78" s="31"/>
      <c r="F78" s="31"/>
      <c r="G78" s="31"/>
      <c r="H78" s="31"/>
      <c r="I78" s="31"/>
    </row>
    <row r="79" spans="1:9" ht="13.5" thickBot="1">
      <c r="A79" s="31">
        <v>1965</v>
      </c>
      <c r="B79" s="31"/>
      <c r="C79" s="31"/>
      <c r="D79" s="31"/>
      <c r="E79" s="31"/>
      <c r="F79" s="31"/>
      <c r="G79" s="31"/>
      <c r="H79" s="31"/>
      <c r="I79" s="31"/>
    </row>
    <row r="80" spans="1:9" ht="32.25" thickBot="1">
      <c r="A80" s="30" t="s">
        <v>622</v>
      </c>
      <c r="B80" s="30"/>
      <c r="C80" s="30"/>
      <c r="D80" s="30"/>
      <c r="E80" s="30"/>
      <c r="F80" s="30"/>
      <c r="G80" s="30"/>
      <c r="H80" s="30"/>
      <c r="I80" s="30"/>
    </row>
    <row r="81" spans="1:9" ht="13.5" thickBot="1">
      <c r="A81" s="31">
        <v>1933</v>
      </c>
      <c r="B81" s="31"/>
      <c r="C81" s="31"/>
      <c r="D81" s="31"/>
      <c r="E81" s="31"/>
      <c r="F81" s="31"/>
      <c r="G81" s="31"/>
      <c r="H81" s="31"/>
      <c r="I81" s="31"/>
    </row>
    <row r="82" spans="1:9" ht="13.5" thickBot="1">
      <c r="A82" s="31">
        <v>1937</v>
      </c>
      <c r="B82" s="31"/>
      <c r="C82" s="31"/>
      <c r="D82" s="31"/>
      <c r="E82" s="31"/>
      <c r="F82" s="31"/>
      <c r="G82" s="31"/>
      <c r="H82" s="31"/>
      <c r="I82" s="31"/>
    </row>
    <row r="83" spans="1:9" ht="13.5" thickBot="1">
      <c r="A83" s="31">
        <v>1946</v>
      </c>
      <c r="B83" s="31"/>
      <c r="C83" s="31"/>
      <c r="D83" s="31"/>
      <c r="E83" s="31"/>
      <c r="F83" s="31"/>
      <c r="G83" s="31"/>
      <c r="H83" s="31"/>
      <c r="I83" s="31"/>
    </row>
    <row r="84" spans="1:9" ht="13.5" thickBot="1">
      <c r="A84" s="31">
        <v>1915</v>
      </c>
      <c r="B84" s="31"/>
      <c r="C84" s="31"/>
      <c r="D84" s="31"/>
      <c r="E84" s="31"/>
      <c r="F84" s="31"/>
      <c r="G84" s="31"/>
      <c r="H84" s="31"/>
      <c r="I84" s="31"/>
    </row>
    <row r="85" spans="1:9" ht="13.5" thickBot="1">
      <c r="A85" s="31">
        <v>1965</v>
      </c>
      <c r="B85" s="31"/>
      <c r="C85" s="31"/>
      <c r="D85" s="31"/>
      <c r="E85" s="31"/>
      <c r="F85" s="31"/>
      <c r="G85" s="31"/>
      <c r="H85" s="31"/>
      <c r="I85" s="31"/>
    </row>
    <row r="86" spans="1:9" ht="32.25" thickBot="1">
      <c r="A86" s="30" t="s">
        <v>623</v>
      </c>
      <c r="B86" s="30"/>
      <c r="C86" s="30"/>
      <c r="D86" s="30"/>
      <c r="E86" s="30"/>
      <c r="F86" s="30"/>
      <c r="G86" s="30"/>
      <c r="H86" s="30"/>
      <c r="I86" s="30"/>
    </row>
    <row r="87" spans="1:9" ht="13.5" thickBot="1">
      <c r="A87" s="31">
        <v>1933</v>
      </c>
      <c r="B87" s="31"/>
      <c r="C87" s="31"/>
      <c r="D87" s="31"/>
      <c r="E87" s="31"/>
      <c r="F87" s="31"/>
      <c r="G87" s="31"/>
      <c r="H87" s="31"/>
      <c r="I87" s="31"/>
    </row>
    <row r="88" spans="1:9" ht="13.5" thickBot="1">
      <c r="A88" s="31">
        <v>1937</v>
      </c>
      <c r="B88" s="31"/>
      <c r="C88" s="31"/>
      <c r="D88" s="31"/>
      <c r="E88" s="31"/>
      <c r="F88" s="31"/>
      <c r="G88" s="31"/>
      <c r="H88" s="31"/>
      <c r="I88" s="31"/>
    </row>
    <row r="89" spans="1:9" ht="13.5" thickBot="1">
      <c r="A89" s="31">
        <v>1946</v>
      </c>
      <c r="B89" s="31"/>
      <c r="C89" s="31"/>
      <c r="D89" s="31"/>
      <c r="E89" s="31"/>
      <c r="F89" s="31"/>
      <c r="G89" s="31"/>
      <c r="H89" s="31"/>
      <c r="I89" s="31"/>
    </row>
    <row r="90" spans="1:9" ht="13.5" thickBot="1">
      <c r="A90" s="31">
        <v>1915</v>
      </c>
      <c r="B90" s="31"/>
      <c r="C90" s="31"/>
      <c r="D90" s="31"/>
      <c r="E90" s="31"/>
      <c r="F90" s="31"/>
      <c r="G90" s="31"/>
      <c r="H90" s="31"/>
      <c r="I90" s="31"/>
    </row>
    <row r="91" spans="1:9" ht="13.5" thickBot="1">
      <c r="A91" s="31">
        <v>1965</v>
      </c>
      <c r="B91" s="31"/>
      <c r="C91" s="31"/>
      <c r="D91" s="31"/>
      <c r="E91" s="31"/>
      <c r="F91" s="31"/>
      <c r="G91" s="31"/>
      <c r="H91" s="31"/>
      <c r="I91" s="31"/>
    </row>
    <row r="92" spans="1:9" ht="21.75" thickBot="1">
      <c r="A92" s="30" t="s">
        <v>624</v>
      </c>
      <c r="B92" s="30"/>
      <c r="C92" s="30"/>
      <c r="D92" s="30"/>
      <c r="E92" s="30"/>
      <c r="F92" s="30"/>
      <c r="G92" s="30"/>
      <c r="H92" s="30"/>
      <c r="I92" s="30"/>
    </row>
    <row r="93" spans="1:9" ht="13.5" thickBot="1">
      <c r="A93" s="31">
        <v>1933</v>
      </c>
      <c r="B93" s="31"/>
      <c r="C93" s="31"/>
      <c r="D93" s="31"/>
      <c r="E93" s="31"/>
      <c r="F93" s="31"/>
      <c r="G93" s="31"/>
      <c r="H93" s="31"/>
      <c r="I93" s="31"/>
    </row>
    <row r="94" spans="1:9" ht="13.5" thickBot="1">
      <c r="A94" s="31">
        <v>1937</v>
      </c>
      <c r="B94" s="31"/>
      <c r="C94" s="31"/>
      <c r="D94" s="31"/>
      <c r="E94" s="31"/>
      <c r="F94" s="31"/>
      <c r="G94" s="31"/>
      <c r="H94" s="31"/>
      <c r="I94" s="31"/>
    </row>
    <row r="95" spans="1:9" ht="13.5" thickBot="1">
      <c r="A95" s="31">
        <v>1946</v>
      </c>
      <c r="B95" s="31"/>
      <c r="C95" s="31"/>
      <c r="D95" s="31"/>
      <c r="E95" s="31"/>
      <c r="F95" s="31"/>
      <c r="G95" s="31"/>
      <c r="H95" s="31"/>
      <c r="I95" s="31"/>
    </row>
    <row r="96" spans="1:9" ht="13.5" thickBot="1">
      <c r="A96" s="31">
        <v>1915</v>
      </c>
      <c r="B96" s="31"/>
      <c r="C96" s="31"/>
      <c r="D96" s="31"/>
      <c r="E96" s="31"/>
      <c r="F96" s="31"/>
      <c r="G96" s="31"/>
      <c r="H96" s="31"/>
      <c r="I96" s="31"/>
    </row>
    <row r="97" spans="1:9" ht="13.5" thickBot="1">
      <c r="A97" s="31">
        <v>1965</v>
      </c>
      <c r="B97" s="31"/>
      <c r="C97" s="31"/>
      <c r="D97" s="31"/>
      <c r="E97" s="31"/>
      <c r="F97" s="31"/>
      <c r="G97" s="31"/>
      <c r="H97" s="31"/>
      <c r="I97" s="31"/>
    </row>
    <row r="98" spans="1:9" ht="42.75" thickBot="1">
      <c r="A98" s="30" t="s">
        <v>625</v>
      </c>
      <c r="B98" s="30">
        <v>31.23</v>
      </c>
      <c r="C98" s="30">
        <v>38</v>
      </c>
      <c r="D98" s="30">
        <v>30.5</v>
      </c>
      <c r="E98" s="30">
        <v>15</v>
      </c>
      <c r="F98" s="30">
        <v>15</v>
      </c>
      <c r="G98" s="30">
        <v>7.5</v>
      </c>
      <c r="H98" s="30"/>
      <c r="I98" s="30">
        <v>137.22999999999999</v>
      </c>
    </row>
    <row r="99" spans="1:9" ht="13.5" thickBot="1">
      <c r="A99" s="31">
        <v>1933</v>
      </c>
      <c r="B99" s="31">
        <v>15.5</v>
      </c>
      <c r="C99" s="31">
        <v>15.5</v>
      </c>
      <c r="D99" s="31">
        <v>7.5</v>
      </c>
      <c r="E99" s="31"/>
      <c r="F99" s="31"/>
      <c r="G99" s="31"/>
      <c r="H99" s="31"/>
      <c r="I99" s="31">
        <v>38.5</v>
      </c>
    </row>
    <row r="100" spans="1:9" ht="13.5" thickBot="1">
      <c r="A100" s="31">
        <v>1937</v>
      </c>
      <c r="B100" s="31">
        <v>0.73</v>
      </c>
      <c r="C100" s="31"/>
      <c r="D100" s="31"/>
      <c r="E100" s="31"/>
      <c r="F100" s="31"/>
      <c r="G100" s="31"/>
      <c r="H100" s="31"/>
      <c r="I100" s="31">
        <v>0.73</v>
      </c>
    </row>
    <row r="101" spans="1:9" ht="13.5" thickBot="1">
      <c r="A101" s="31">
        <v>1946</v>
      </c>
      <c r="B101" s="31"/>
      <c r="C101" s="31"/>
      <c r="D101" s="31"/>
      <c r="E101" s="31"/>
      <c r="F101" s="31"/>
      <c r="G101" s="31"/>
      <c r="H101" s="31"/>
      <c r="I101" s="31"/>
    </row>
    <row r="102" spans="1:9" ht="13.5" thickBot="1">
      <c r="A102" s="31">
        <v>1915</v>
      </c>
      <c r="B102" s="31">
        <v>7.5</v>
      </c>
      <c r="C102" s="31">
        <v>7.5</v>
      </c>
      <c r="D102" s="31">
        <v>7.5</v>
      </c>
      <c r="E102" s="31"/>
      <c r="F102" s="31"/>
      <c r="G102" s="31"/>
      <c r="H102" s="31"/>
      <c r="I102" s="31">
        <v>22.5</v>
      </c>
    </row>
    <row r="103" spans="1:9" ht="13.5" thickBot="1">
      <c r="A103" s="31">
        <v>1965</v>
      </c>
      <c r="B103" s="31">
        <v>7.5</v>
      </c>
      <c r="C103" s="31">
        <v>7.5</v>
      </c>
      <c r="D103" s="31">
        <v>8</v>
      </c>
      <c r="E103" s="31">
        <v>7.5</v>
      </c>
      <c r="F103" s="31">
        <v>7.5</v>
      </c>
      <c r="G103" s="31"/>
      <c r="H103" s="31"/>
      <c r="I103" s="31">
        <v>38</v>
      </c>
    </row>
    <row r="104" spans="1:9" ht="32.25" thickBot="1">
      <c r="A104" s="30" t="s">
        <v>626</v>
      </c>
      <c r="B104" s="30"/>
      <c r="C104" s="30"/>
      <c r="D104" s="30"/>
      <c r="E104" s="30"/>
      <c r="F104" s="30"/>
      <c r="G104" s="30"/>
      <c r="H104" s="30"/>
      <c r="I104" s="30"/>
    </row>
    <row r="105" spans="1:9" ht="13.5" thickBot="1">
      <c r="A105" s="31">
        <v>1933</v>
      </c>
      <c r="B105" s="31"/>
      <c r="C105" s="31"/>
      <c r="D105" s="31"/>
      <c r="E105" s="31"/>
      <c r="F105" s="31"/>
      <c r="G105" s="31"/>
      <c r="H105" s="31"/>
      <c r="I105" s="31"/>
    </row>
    <row r="106" spans="1:9" ht="13.5" thickBot="1">
      <c r="A106" s="31">
        <v>1937</v>
      </c>
      <c r="B106" s="31"/>
      <c r="C106" s="31"/>
      <c r="D106" s="31"/>
      <c r="E106" s="31"/>
      <c r="F106" s="31"/>
      <c r="G106" s="31"/>
      <c r="H106" s="31"/>
      <c r="I106" s="31"/>
    </row>
    <row r="107" spans="1:9" ht="13.5" thickBot="1">
      <c r="A107" s="31">
        <v>1946</v>
      </c>
      <c r="B107" s="31"/>
      <c r="C107" s="31"/>
      <c r="D107" s="31"/>
      <c r="E107" s="31"/>
      <c r="F107" s="31"/>
      <c r="G107" s="31"/>
      <c r="H107" s="31"/>
      <c r="I107" s="31"/>
    </row>
    <row r="108" spans="1:9" ht="13.5" thickBot="1">
      <c r="A108" s="31">
        <v>1915</v>
      </c>
      <c r="B108" s="31"/>
      <c r="C108" s="31"/>
      <c r="D108" s="31"/>
      <c r="E108" s="31"/>
      <c r="F108" s="31"/>
      <c r="G108" s="31"/>
      <c r="H108" s="31"/>
      <c r="I108" s="31"/>
    </row>
    <row r="109" spans="1:9" ht="13.5" thickBot="1">
      <c r="A109" s="31">
        <v>1965</v>
      </c>
      <c r="B109" s="31"/>
      <c r="C109" s="31"/>
      <c r="D109" s="31"/>
      <c r="E109" s="31"/>
      <c r="F109" s="31"/>
      <c r="G109" s="31"/>
      <c r="H109" s="31"/>
      <c r="I109" s="31"/>
    </row>
    <row r="110" spans="1:9" ht="32.25" thickBot="1">
      <c r="A110" s="30" t="s">
        <v>627</v>
      </c>
      <c r="B110" s="30"/>
      <c r="C110" s="30"/>
      <c r="D110" s="30"/>
      <c r="E110" s="30"/>
      <c r="F110" s="30">
        <v>7.5</v>
      </c>
      <c r="G110" s="30"/>
      <c r="H110" s="30"/>
      <c r="I110" s="30">
        <v>7.5</v>
      </c>
    </row>
    <row r="111" spans="1:9" ht="13.5" thickBot="1">
      <c r="A111" s="31">
        <v>1933</v>
      </c>
      <c r="B111" s="31"/>
      <c r="C111" s="31"/>
      <c r="D111" s="31"/>
      <c r="E111" s="31"/>
      <c r="F111" s="31">
        <v>7.5</v>
      </c>
      <c r="G111" s="31"/>
      <c r="H111" s="31"/>
      <c r="I111" s="31">
        <v>7.5</v>
      </c>
    </row>
    <row r="112" spans="1:9" ht="13.5" thickBot="1">
      <c r="A112" s="31">
        <v>1937</v>
      </c>
      <c r="B112" s="31"/>
      <c r="C112" s="31"/>
      <c r="D112" s="31"/>
      <c r="E112" s="31"/>
      <c r="F112" s="31"/>
      <c r="G112" s="31"/>
      <c r="H112" s="31"/>
      <c r="I112" s="31"/>
    </row>
    <row r="113" spans="1:9" ht="13.5" thickBot="1">
      <c r="A113" s="31">
        <v>1946</v>
      </c>
      <c r="B113" s="31"/>
      <c r="C113" s="31"/>
      <c r="D113" s="31"/>
      <c r="E113" s="31"/>
      <c r="F113" s="31"/>
      <c r="G113" s="31"/>
      <c r="H113" s="31"/>
      <c r="I113" s="31"/>
    </row>
    <row r="114" spans="1:9" ht="13.5" thickBot="1">
      <c r="A114" s="31">
        <v>1915</v>
      </c>
      <c r="B114" s="31"/>
      <c r="C114" s="31"/>
      <c r="D114" s="31"/>
      <c r="E114" s="31"/>
      <c r="F114" s="31"/>
      <c r="G114" s="31"/>
      <c r="H114" s="31"/>
      <c r="I114" s="31"/>
    </row>
    <row r="115" spans="1:9" ht="13.5" thickBot="1">
      <c r="A115" s="31">
        <v>1965</v>
      </c>
      <c r="B115" s="31"/>
      <c r="C115" s="31"/>
      <c r="D115" s="31"/>
      <c r="E115" s="31"/>
      <c r="F115" s="31"/>
      <c r="G115" s="31"/>
      <c r="H115" s="31"/>
      <c r="I115" s="31"/>
    </row>
    <row r="116" spans="1:9" ht="21.75" thickBot="1">
      <c r="A116" s="30" t="s">
        <v>628</v>
      </c>
      <c r="B116" s="30">
        <v>26.5</v>
      </c>
      <c r="C116" s="30">
        <v>26.5</v>
      </c>
      <c r="D116" s="30">
        <v>45.5</v>
      </c>
      <c r="E116" s="30">
        <v>38.5</v>
      </c>
      <c r="F116" s="30">
        <v>35</v>
      </c>
      <c r="G116" s="30">
        <v>35</v>
      </c>
      <c r="H116" s="30">
        <v>15.5</v>
      </c>
      <c r="I116" s="30">
        <v>222.5</v>
      </c>
    </row>
    <row r="117" spans="1:9" ht="13.5" thickBot="1">
      <c r="A117" s="31">
        <v>1933</v>
      </c>
      <c r="B117" s="31">
        <v>17</v>
      </c>
      <c r="C117" s="31">
        <v>17</v>
      </c>
      <c r="D117" s="31">
        <v>17</v>
      </c>
      <c r="E117" s="31"/>
      <c r="F117" s="31">
        <v>6</v>
      </c>
      <c r="G117" s="31">
        <v>6</v>
      </c>
      <c r="H117" s="31">
        <v>6</v>
      </c>
      <c r="I117" s="31">
        <v>69</v>
      </c>
    </row>
    <row r="118" spans="1:9" ht="13.5" thickBot="1">
      <c r="A118" s="31">
        <v>1937</v>
      </c>
      <c r="B118" s="31">
        <v>9.5</v>
      </c>
      <c r="C118" s="31">
        <v>9.5</v>
      </c>
      <c r="D118" s="31">
        <v>19</v>
      </c>
      <c r="E118" s="31">
        <v>29</v>
      </c>
      <c r="F118" s="31">
        <v>19.5</v>
      </c>
      <c r="G118" s="31">
        <v>10</v>
      </c>
      <c r="H118" s="31"/>
      <c r="I118" s="31">
        <v>96.5</v>
      </c>
    </row>
    <row r="119" spans="1:9" ht="13.5" thickBot="1">
      <c r="A119" s="31">
        <v>1946</v>
      </c>
      <c r="B119" s="31"/>
      <c r="C119" s="31"/>
      <c r="D119" s="31">
        <v>9.5</v>
      </c>
      <c r="E119" s="31">
        <v>9.5</v>
      </c>
      <c r="F119" s="31">
        <v>9.5</v>
      </c>
      <c r="G119" s="31">
        <v>19</v>
      </c>
      <c r="H119" s="31">
        <v>9.5</v>
      </c>
      <c r="I119" s="31">
        <v>57</v>
      </c>
    </row>
    <row r="120" spans="1:9" ht="13.5" thickBot="1">
      <c r="A120" s="31">
        <v>1915</v>
      </c>
      <c r="B120" s="31"/>
      <c r="C120" s="31"/>
      <c r="D120" s="31"/>
      <c r="E120" s="31"/>
      <c r="F120" s="31"/>
      <c r="G120" s="31"/>
      <c r="H120" s="31"/>
      <c r="I120" s="31"/>
    </row>
    <row r="121" spans="1:9" ht="13.5" thickBot="1">
      <c r="A121" s="31">
        <v>1965</v>
      </c>
      <c r="B121" s="31"/>
      <c r="C121" s="31"/>
      <c r="D121" s="31"/>
      <c r="E121" s="31"/>
      <c r="F121" s="31"/>
      <c r="G121" s="31"/>
      <c r="H121" s="31"/>
      <c r="I121" s="31"/>
    </row>
    <row r="122" spans="1:9" ht="21.75" thickBot="1">
      <c r="A122" s="30" t="s">
        <v>629</v>
      </c>
      <c r="B122" s="30"/>
      <c r="C122" s="30"/>
      <c r="D122" s="30"/>
      <c r="E122" s="30"/>
      <c r="F122" s="30"/>
      <c r="G122" s="30"/>
      <c r="H122" s="30"/>
      <c r="I122" s="30"/>
    </row>
    <row r="123" spans="1:9" ht="13.5" thickBot="1">
      <c r="A123" s="31">
        <v>1933</v>
      </c>
      <c r="B123" s="31"/>
      <c r="C123" s="31"/>
      <c r="D123" s="31"/>
      <c r="E123" s="31"/>
      <c r="F123" s="31"/>
      <c r="G123" s="31"/>
      <c r="H123" s="31"/>
      <c r="I123" s="31"/>
    </row>
    <row r="124" spans="1:9" ht="13.5" thickBot="1">
      <c r="A124" s="31">
        <v>1937</v>
      </c>
      <c r="B124" s="31"/>
      <c r="C124" s="31"/>
      <c r="D124" s="31"/>
      <c r="E124" s="31"/>
      <c r="F124" s="31"/>
      <c r="G124" s="31"/>
      <c r="H124" s="31"/>
      <c r="I124" s="31"/>
    </row>
    <row r="125" spans="1:9" ht="13.5" thickBot="1">
      <c r="A125" s="31">
        <v>1946</v>
      </c>
      <c r="B125" s="31"/>
      <c r="C125" s="31"/>
      <c r="D125" s="31"/>
      <c r="E125" s="31"/>
      <c r="F125" s="31"/>
      <c r="G125" s="31"/>
      <c r="H125" s="31"/>
      <c r="I125" s="31"/>
    </row>
    <row r="126" spans="1:9" ht="13.5" thickBot="1">
      <c r="A126" s="31">
        <v>1915</v>
      </c>
      <c r="B126" s="31"/>
      <c r="C126" s="31"/>
      <c r="D126" s="31"/>
      <c r="E126" s="31"/>
      <c r="F126" s="31"/>
      <c r="G126" s="31"/>
      <c r="H126" s="31"/>
      <c r="I126" s="31"/>
    </row>
    <row r="127" spans="1:9" ht="13.5" thickBot="1">
      <c r="A127" s="31">
        <v>1965</v>
      </c>
      <c r="B127" s="31"/>
      <c r="C127" s="31"/>
      <c r="D127" s="31"/>
      <c r="E127" s="31"/>
      <c r="F127" s="31"/>
      <c r="G127" s="31"/>
      <c r="H127" s="31"/>
      <c r="I127" s="31"/>
    </row>
    <row r="128" spans="1:9" ht="21.75" thickBot="1">
      <c r="A128" s="30" t="s">
        <v>630</v>
      </c>
      <c r="B128" s="30"/>
      <c r="C128" s="30"/>
      <c r="D128" s="30"/>
      <c r="E128" s="30"/>
      <c r="F128" s="30"/>
      <c r="G128" s="30"/>
      <c r="H128" s="30"/>
      <c r="I128" s="30"/>
    </row>
    <row r="129" spans="1:9" ht="13.5" thickBot="1">
      <c r="A129" s="31">
        <v>1933</v>
      </c>
      <c r="B129" s="31"/>
      <c r="C129" s="31"/>
      <c r="D129" s="31"/>
      <c r="E129" s="31"/>
      <c r="F129" s="31"/>
      <c r="G129" s="31"/>
      <c r="H129" s="31"/>
      <c r="I129" s="31"/>
    </row>
    <row r="130" spans="1:9" ht="13.5" thickBot="1">
      <c r="A130" s="31">
        <v>1937</v>
      </c>
      <c r="B130" s="31"/>
      <c r="C130" s="31"/>
      <c r="D130" s="31"/>
      <c r="E130" s="31"/>
      <c r="F130" s="31"/>
      <c r="G130" s="31"/>
      <c r="H130" s="31"/>
      <c r="I130" s="31"/>
    </row>
    <row r="131" spans="1:9" ht="13.5" thickBot="1">
      <c r="A131" s="31">
        <v>1946</v>
      </c>
      <c r="B131" s="31"/>
      <c r="C131" s="31"/>
      <c r="D131" s="31"/>
      <c r="E131" s="31"/>
      <c r="F131" s="31"/>
      <c r="G131" s="31"/>
      <c r="H131" s="31"/>
      <c r="I131" s="31"/>
    </row>
    <row r="132" spans="1:9" ht="13.5" thickBot="1">
      <c r="A132" s="31">
        <v>1915</v>
      </c>
      <c r="B132" s="31"/>
      <c r="C132" s="31"/>
      <c r="D132" s="31"/>
      <c r="E132" s="31"/>
      <c r="F132" s="31"/>
      <c r="G132" s="31"/>
      <c r="H132" s="31"/>
      <c r="I132" s="31"/>
    </row>
    <row r="133" spans="1:9" ht="13.5" thickBot="1">
      <c r="A133" s="31">
        <v>1965</v>
      </c>
      <c r="B133" s="31"/>
      <c r="C133" s="31"/>
      <c r="D133" s="31"/>
      <c r="E133" s="31"/>
      <c r="F133" s="31"/>
      <c r="G133" s="31"/>
      <c r="H133" s="31"/>
      <c r="I133" s="31"/>
    </row>
    <row r="134" spans="1:9" ht="32.25" thickBot="1">
      <c r="A134" s="30" t="s">
        <v>631</v>
      </c>
      <c r="B134" s="30"/>
      <c r="C134" s="30"/>
      <c r="D134" s="30"/>
      <c r="E134" s="30">
        <v>7.5</v>
      </c>
      <c r="F134" s="30"/>
      <c r="G134" s="30"/>
      <c r="H134" s="30"/>
      <c r="I134" s="30">
        <v>7.5</v>
      </c>
    </row>
    <row r="135" spans="1:9" ht="13.5" thickBot="1">
      <c r="A135" s="31">
        <v>1933</v>
      </c>
      <c r="B135" s="31"/>
      <c r="C135" s="31"/>
      <c r="D135" s="31"/>
      <c r="E135" s="31"/>
      <c r="F135" s="31"/>
      <c r="G135" s="31"/>
      <c r="H135" s="31"/>
      <c r="I135" s="31"/>
    </row>
    <row r="136" spans="1:9" ht="13.5" thickBot="1">
      <c r="A136" s="31">
        <v>1937</v>
      </c>
      <c r="B136" s="31"/>
      <c r="C136" s="31"/>
      <c r="D136" s="31"/>
      <c r="E136" s="31"/>
      <c r="F136" s="31"/>
      <c r="G136" s="31"/>
      <c r="H136" s="31"/>
      <c r="I136" s="31"/>
    </row>
    <row r="137" spans="1:9" ht="13.5" thickBot="1">
      <c r="A137" s="31">
        <v>1946</v>
      </c>
      <c r="B137" s="31"/>
      <c r="C137" s="31"/>
      <c r="D137" s="31"/>
      <c r="E137" s="31">
        <v>7.5</v>
      </c>
      <c r="F137" s="31"/>
      <c r="G137" s="31"/>
      <c r="H137" s="31"/>
      <c r="I137" s="31">
        <v>7.5</v>
      </c>
    </row>
    <row r="138" spans="1:9" ht="13.5" thickBot="1">
      <c r="A138" s="31">
        <v>1915</v>
      </c>
      <c r="B138" s="31"/>
      <c r="C138" s="31"/>
      <c r="D138" s="31"/>
      <c r="E138" s="31"/>
      <c r="F138" s="31"/>
      <c r="G138" s="31"/>
      <c r="H138" s="31"/>
      <c r="I138" s="31"/>
    </row>
    <row r="139" spans="1:9" ht="13.5" thickBot="1">
      <c r="A139" s="31">
        <v>1965</v>
      </c>
      <c r="B139" s="31"/>
      <c r="C139" s="31"/>
      <c r="D139" s="31"/>
      <c r="E139" s="31"/>
      <c r="F139" s="31"/>
      <c r="G139" s="31"/>
      <c r="H139" s="31"/>
      <c r="I139" s="31"/>
    </row>
    <row r="140" spans="1:9" ht="32.25" thickBot="1">
      <c r="A140" s="30" t="s">
        <v>632</v>
      </c>
      <c r="B140" s="30"/>
      <c r="C140" s="30"/>
      <c r="D140" s="30"/>
      <c r="E140" s="30"/>
      <c r="F140" s="30"/>
      <c r="G140" s="30"/>
      <c r="H140" s="30"/>
      <c r="I140" s="30"/>
    </row>
    <row r="141" spans="1:9" ht="13.5" thickBot="1">
      <c r="A141" s="31">
        <v>1933</v>
      </c>
      <c r="B141" s="31"/>
      <c r="C141" s="31"/>
      <c r="D141" s="31"/>
      <c r="E141" s="31"/>
      <c r="F141" s="31"/>
      <c r="G141" s="31"/>
      <c r="H141" s="31"/>
      <c r="I141" s="31"/>
    </row>
    <row r="142" spans="1:9" ht="13.5" thickBot="1">
      <c r="A142" s="31">
        <v>1937</v>
      </c>
      <c r="B142" s="31"/>
      <c r="C142" s="31"/>
      <c r="D142" s="31"/>
      <c r="E142" s="31"/>
      <c r="F142" s="31"/>
      <c r="G142" s="31"/>
      <c r="H142" s="31"/>
      <c r="I142" s="31"/>
    </row>
    <row r="143" spans="1:9" ht="13.5" thickBot="1">
      <c r="A143" s="31">
        <v>1946</v>
      </c>
      <c r="B143" s="31"/>
      <c r="C143" s="31"/>
      <c r="D143" s="31"/>
      <c r="E143" s="31"/>
      <c r="F143" s="31"/>
      <c r="G143" s="31"/>
      <c r="H143" s="31"/>
      <c r="I143" s="31"/>
    </row>
    <row r="144" spans="1:9" ht="13.5" thickBot="1">
      <c r="A144" s="31">
        <v>1915</v>
      </c>
      <c r="B144" s="31"/>
      <c r="C144" s="31"/>
      <c r="D144" s="31"/>
      <c r="E144" s="31"/>
      <c r="F144" s="31"/>
      <c r="G144" s="31"/>
      <c r="H144" s="31"/>
      <c r="I144" s="31"/>
    </row>
    <row r="145" spans="1:9" ht="13.5" thickBot="1">
      <c r="A145" s="31">
        <v>1965</v>
      </c>
      <c r="B145" s="31"/>
      <c r="C145" s="31"/>
      <c r="D145" s="31"/>
      <c r="E145" s="31"/>
      <c r="F145" s="31"/>
      <c r="G145" s="31"/>
      <c r="H145" s="31"/>
      <c r="I145" s="31"/>
    </row>
    <row r="146" spans="1:9" ht="21.75" thickBot="1">
      <c r="A146" s="30" t="s">
        <v>633</v>
      </c>
      <c r="B146" s="30"/>
      <c r="C146" s="30"/>
      <c r="D146" s="30"/>
      <c r="E146" s="30"/>
      <c r="F146" s="30"/>
      <c r="G146" s="30"/>
      <c r="H146" s="30"/>
      <c r="I146" s="30"/>
    </row>
    <row r="147" spans="1:9" ht="13.5" thickBot="1">
      <c r="A147" s="31">
        <v>1933</v>
      </c>
      <c r="B147" s="31"/>
      <c r="C147" s="31"/>
      <c r="D147" s="31"/>
      <c r="E147" s="31"/>
      <c r="F147" s="31"/>
      <c r="G147" s="31"/>
      <c r="H147" s="31"/>
      <c r="I147" s="31"/>
    </row>
    <row r="148" spans="1:9" ht="13.5" thickBot="1">
      <c r="A148" s="31">
        <v>1937</v>
      </c>
      <c r="B148" s="31"/>
      <c r="C148" s="31"/>
      <c r="D148" s="31"/>
      <c r="E148" s="31"/>
      <c r="F148" s="31"/>
      <c r="G148" s="31"/>
      <c r="H148" s="31"/>
      <c r="I148" s="31"/>
    </row>
    <row r="149" spans="1:9" ht="13.5" thickBot="1">
      <c r="A149" s="31">
        <v>1946</v>
      </c>
      <c r="B149" s="31"/>
      <c r="C149" s="31"/>
      <c r="D149" s="31"/>
      <c r="E149" s="31"/>
      <c r="F149" s="31"/>
      <c r="G149" s="31"/>
      <c r="H149" s="31"/>
      <c r="I149" s="31"/>
    </row>
    <row r="150" spans="1:9" ht="13.5" thickBot="1">
      <c r="A150" s="31">
        <v>1915</v>
      </c>
      <c r="B150" s="31"/>
      <c r="C150" s="31"/>
      <c r="D150" s="31"/>
      <c r="E150" s="31"/>
      <c r="F150" s="31"/>
      <c r="G150" s="31"/>
      <c r="H150" s="31"/>
      <c r="I150" s="31"/>
    </row>
    <row r="151" spans="1:9" ht="13.5" thickBot="1">
      <c r="A151" s="31">
        <v>1965</v>
      </c>
      <c r="B151" s="31"/>
      <c r="C151" s="31"/>
      <c r="D151" s="31"/>
      <c r="E151" s="31"/>
      <c r="F151" s="31"/>
      <c r="G151" s="31"/>
      <c r="H151" s="31"/>
      <c r="I151" s="31"/>
    </row>
    <row r="152" spans="1:9" ht="21.75" thickBot="1">
      <c r="A152" s="30" t="s">
        <v>634</v>
      </c>
      <c r="B152" s="30"/>
      <c r="C152" s="30"/>
      <c r="D152" s="30"/>
      <c r="E152" s="30"/>
      <c r="F152" s="30"/>
      <c r="G152" s="30"/>
      <c r="H152" s="30"/>
      <c r="I152" s="30"/>
    </row>
    <row r="153" spans="1:9" ht="13.5" thickBot="1">
      <c r="A153" s="31">
        <v>1933</v>
      </c>
      <c r="B153" s="31"/>
      <c r="C153" s="31"/>
      <c r="D153" s="31"/>
      <c r="E153" s="31"/>
      <c r="F153" s="31"/>
      <c r="G153" s="31"/>
      <c r="H153" s="31"/>
      <c r="I153" s="31"/>
    </row>
    <row r="154" spans="1:9" ht="13.5" thickBot="1">
      <c r="A154" s="31">
        <v>1937</v>
      </c>
      <c r="B154" s="31"/>
      <c r="C154" s="31"/>
      <c r="D154" s="31"/>
      <c r="E154" s="31"/>
      <c r="F154" s="31"/>
      <c r="G154" s="31"/>
      <c r="H154" s="31"/>
      <c r="I154" s="31"/>
    </row>
    <row r="155" spans="1:9" ht="13.5" thickBot="1">
      <c r="A155" s="31">
        <v>1946</v>
      </c>
      <c r="B155" s="31"/>
      <c r="C155" s="31"/>
      <c r="D155" s="31"/>
      <c r="E155" s="31"/>
      <c r="F155" s="31"/>
      <c r="G155" s="31"/>
      <c r="H155" s="31"/>
      <c r="I155" s="31"/>
    </row>
    <row r="156" spans="1:9" ht="13.5" thickBot="1">
      <c r="A156" s="31">
        <v>1915</v>
      </c>
      <c r="B156" s="31"/>
      <c r="C156" s="31"/>
      <c r="D156" s="31"/>
      <c r="E156" s="31"/>
      <c r="F156" s="31"/>
      <c r="G156" s="31"/>
      <c r="H156" s="31"/>
      <c r="I156" s="31"/>
    </row>
    <row r="157" spans="1:9" ht="13.5" thickBot="1">
      <c r="A157" s="31">
        <v>1965</v>
      </c>
      <c r="B157" s="31"/>
      <c r="C157" s="31"/>
      <c r="D157" s="31"/>
      <c r="E157" s="31"/>
      <c r="F157" s="31"/>
      <c r="G157" s="31"/>
      <c r="H157" s="31"/>
      <c r="I157" s="31"/>
    </row>
    <row r="158" spans="1:9" ht="21.75" thickBot="1">
      <c r="A158" s="30" t="s">
        <v>635</v>
      </c>
      <c r="B158" s="30">
        <v>7.5</v>
      </c>
      <c r="C158" s="30">
        <v>7.5</v>
      </c>
      <c r="D158" s="30">
        <v>7.5</v>
      </c>
      <c r="E158" s="30">
        <v>7.5</v>
      </c>
      <c r="F158" s="30"/>
      <c r="G158" s="30"/>
      <c r="H158" s="30"/>
      <c r="I158" s="30">
        <v>30</v>
      </c>
    </row>
    <row r="159" spans="1:9" ht="13.5" thickBot="1">
      <c r="A159" s="31">
        <v>1933</v>
      </c>
      <c r="B159" s="31"/>
      <c r="C159" s="31"/>
      <c r="D159" s="31"/>
      <c r="E159" s="31"/>
      <c r="F159" s="31"/>
      <c r="G159" s="31"/>
      <c r="H159" s="31"/>
      <c r="I159" s="31"/>
    </row>
    <row r="160" spans="1:9" ht="13.5" thickBot="1">
      <c r="A160" s="31">
        <v>1937</v>
      </c>
      <c r="B160" s="31">
        <v>7.5</v>
      </c>
      <c r="C160" s="31">
        <v>7.5</v>
      </c>
      <c r="D160" s="31">
        <v>7.5</v>
      </c>
      <c r="E160" s="31">
        <v>7.5</v>
      </c>
      <c r="F160" s="31"/>
      <c r="G160" s="31"/>
      <c r="H160" s="31"/>
      <c r="I160" s="31">
        <v>30</v>
      </c>
    </row>
    <row r="161" spans="1:9" ht="13.5" thickBot="1">
      <c r="A161" s="31">
        <v>1946</v>
      </c>
      <c r="B161" s="31"/>
      <c r="C161" s="31"/>
      <c r="D161" s="31"/>
      <c r="E161" s="31"/>
      <c r="F161" s="31"/>
      <c r="G161" s="31"/>
      <c r="H161" s="31"/>
      <c r="I161" s="31"/>
    </row>
    <row r="162" spans="1:9" ht="13.5" thickBot="1">
      <c r="A162" s="31">
        <v>1915</v>
      </c>
      <c r="B162" s="31"/>
      <c r="C162" s="31"/>
      <c r="D162" s="31"/>
      <c r="E162" s="31"/>
      <c r="F162" s="31"/>
      <c r="G162" s="31"/>
      <c r="H162" s="31"/>
      <c r="I162" s="31"/>
    </row>
    <row r="163" spans="1:9" ht="13.5" thickBot="1">
      <c r="A163" s="31">
        <v>1965</v>
      </c>
      <c r="B163" s="31"/>
      <c r="C163" s="31"/>
      <c r="D163" s="31"/>
      <c r="E163" s="31"/>
      <c r="F163" s="31"/>
      <c r="G163" s="31"/>
      <c r="H163" s="31"/>
      <c r="I163" s="31"/>
    </row>
    <row r="164" spans="1:9" ht="21.75" thickBot="1">
      <c r="A164" s="30" t="s">
        <v>636</v>
      </c>
      <c r="B164" s="30"/>
      <c r="C164" s="30"/>
      <c r="D164" s="30"/>
      <c r="E164" s="30"/>
      <c r="F164" s="30"/>
      <c r="G164" s="30"/>
      <c r="H164" s="30"/>
      <c r="I164" s="30"/>
    </row>
    <row r="165" spans="1:9" ht="13.5" thickBot="1">
      <c r="A165" s="31">
        <v>1933</v>
      </c>
      <c r="B165" s="31"/>
      <c r="C165" s="31"/>
      <c r="D165" s="31"/>
      <c r="E165" s="31"/>
      <c r="F165" s="31"/>
      <c r="G165" s="31"/>
      <c r="H165" s="31"/>
      <c r="I165" s="31"/>
    </row>
    <row r="166" spans="1:9" ht="13.5" thickBot="1">
      <c r="A166" s="31">
        <v>1937</v>
      </c>
      <c r="B166" s="31"/>
      <c r="C166" s="31"/>
      <c r="D166" s="31"/>
      <c r="E166" s="31"/>
      <c r="F166" s="31"/>
      <c r="G166" s="31"/>
      <c r="H166" s="31"/>
      <c r="I166" s="31"/>
    </row>
    <row r="167" spans="1:9" ht="13.5" thickBot="1">
      <c r="A167" s="31">
        <v>1946</v>
      </c>
      <c r="B167" s="31"/>
      <c r="C167" s="31"/>
      <c r="D167" s="31"/>
      <c r="E167" s="31"/>
      <c r="F167" s="31"/>
      <c r="G167" s="31"/>
      <c r="H167" s="31"/>
      <c r="I167" s="31"/>
    </row>
    <row r="168" spans="1:9" ht="13.5" thickBot="1">
      <c r="A168" s="31">
        <v>1915</v>
      </c>
      <c r="B168" s="31"/>
      <c r="C168" s="31"/>
      <c r="D168" s="31"/>
      <c r="E168" s="31"/>
      <c r="F168" s="31"/>
      <c r="G168" s="31"/>
      <c r="H168" s="31"/>
      <c r="I168" s="31"/>
    </row>
    <row r="169" spans="1:9" ht="13.5" thickBot="1">
      <c r="A169" s="31">
        <v>1965</v>
      </c>
      <c r="B169" s="31"/>
      <c r="C169" s="31"/>
      <c r="D169" s="31"/>
      <c r="E169" s="31"/>
      <c r="F169" s="31"/>
      <c r="G169" s="31"/>
      <c r="H169" s="31"/>
      <c r="I169" s="31"/>
    </row>
    <row r="170" spans="1:9" ht="21.75" thickBot="1">
      <c r="A170" s="30" t="s">
        <v>637</v>
      </c>
      <c r="B170" s="30"/>
      <c r="C170" s="30"/>
      <c r="D170" s="30"/>
      <c r="E170" s="30"/>
      <c r="F170" s="30"/>
      <c r="G170" s="30"/>
      <c r="H170" s="30"/>
      <c r="I170" s="30"/>
    </row>
    <row r="171" spans="1:9" ht="13.5" thickBot="1">
      <c r="A171" s="31">
        <v>1933</v>
      </c>
      <c r="B171" s="31"/>
      <c r="C171" s="31"/>
      <c r="D171" s="31"/>
      <c r="E171" s="31"/>
      <c r="F171" s="31"/>
      <c r="G171" s="31"/>
      <c r="H171" s="31"/>
      <c r="I171" s="31"/>
    </row>
    <row r="172" spans="1:9" ht="13.5" thickBot="1">
      <c r="A172" s="31">
        <v>1937</v>
      </c>
      <c r="B172" s="31"/>
      <c r="C172" s="31"/>
      <c r="D172" s="31"/>
      <c r="E172" s="31"/>
      <c r="F172" s="31"/>
      <c r="G172" s="31"/>
      <c r="H172" s="31"/>
      <c r="I172" s="31"/>
    </row>
    <row r="173" spans="1:9" ht="13.5" thickBot="1">
      <c r="A173" s="31">
        <v>1946</v>
      </c>
      <c r="B173" s="31"/>
      <c r="C173" s="31"/>
      <c r="D173" s="31"/>
      <c r="E173" s="31"/>
      <c r="F173" s="31"/>
      <c r="G173" s="31"/>
      <c r="H173" s="31"/>
      <c r="I173" s="31"/>
    </row>
    <row r="174" spans="1:9" ht="13.5" thickBot="1">
      <c r="A174" s="31">
        <v>1915</v>
      </c>
      <c r="B174" s="31"/>
      <c r="C174" s="31"/>
      <c r="D174" s="31"/>
      <c r="E174" s="31"/>
      <c r="F174" s="31"/>
      <c r="G174" s="31"/>
      <c r="H174" s="31"/>
      <c r="I174" s="31"/>
    </row>
    <row r="175" spans="1:9" ht="13.5" thickBot="1">
      <c r="A175" s="31">
        <v>1965</v>
      </c>
      <c r="B175" s="31"/>
      <c r="C175" s="31"/>
      <c r="D175" s="31"/>
      <c r="E175" s="31"/>
      <c r="F175" s="31"/>
      <c r="G175" s="31"/>
      <c r="H175" s="31"/>
      <c r="I175" s="31"/>
    </row>
    <row r="176" spans="1:9" ht="32.25" thickBot="1">
      <c r="A176" s="30" t="s">
        <v>638</v>
      </c>
      <c r="B176" s="30"/>
      <c r="C176" s="30"/>
      <c r="D176" s="30"/>
      <c r="E176" s="30"/>
      <c r="F176" s="30"/>
      <c r="G176" s="30"/>
      <c r="H176" s="30"/>
      <c r="I176" s="30"/>
    </row>
    <row r="177" spans="1:9" ht="13.5" thickBot="1">
      <c r="A177" s="31">
        <v>1933</v>
      </c>
      <c r="B177" s="31"/>
      <c r="C177" s="31"/>
      <c r="D177" s="31"/>
      <c r="E177" s="31"/>
      <c r="F177" s="31"/>
      <c r="G177" s="31"/>
      <c r="H177" s="31"/>
      <c r="I177" s="31"/>
    </row>
    <row r="178" spans="1:9" ht="13.5" thickBot="1">
      <c r="A178" s="31">
        <v>1937</v>
      </c>
      <c r="B178" s="31"/>
      <c r="C178" s="31"/>
      <c r="D178" s="31"/>
      <c r="E178" s="31"/>
      <c r="F178" s="31"/>
      <c r="G178" s="31"/>
      <c r="H178" s="31"/>
      <c r="I178" s="31"/>
    </row>
    <row r="179" spans="1:9" ht="13.5" thickBot="1">
      <c r="A179" s="31">
        <v>1946</v>
      </c>
      <c r="B179" s="31"/>
      <c r="C179" s="31"/>
      <c r="D179" s="31"/>
      <c r="E179" s="31"/>
      <c r="F179" s="31"/>
      <c r="G179" s="31"/>
      <c r="H179" s="31"/>
      <c r="I179" s="31"/>
    </row>
    <row r="180" spans="1:9" ht="13.5" thickBot="1">
      <c r="A180" s="31">
        <v>1915</v>
      </c>
      <c r="B180" s="31"/>
      <c r="C180" s="31"/>
      <c r="D180" s="31"/>
      <c r="E180" s="31"/>
      <c r="F180" s="31"/>
      <c r="G180" s="31"/>
      <c r="H180" s="31"/>
      <c r="I180" s="31"/>
    </row>
    <row r="181" spans="1:9" ht="13.5" thickBot="1">
      <c r="A181" s="31">
        <v>1965</v>
      </c>
      <c r="B181" s="31"/>
      <c r="C181" s="31"/>
      <c r="D181" s="31"/>
      <c r="E181" s="31"/>
      <c r="F181" s="31"/>
      <c r="G181" s="31"/>
      <c r="H181" s="31"/>
      <c r="I181" s="31"/>
    </row>
    <row r="182" spans="1:9" ht="32.25" thickBot="1">
      <c r="A182" s="30" t="s">
        <v>639</v>
      </c>
      <c r="B182" s="30"/>
      <c r="C182" s="30"/>
      <c r="D182" s="30"/>
      <c r="E182" s="30"/>
      <c r="F182" s="30"/>
      <c r="G182" s="30"/>
      <c r="H182" s="30"/>
      <c r="I182" s="30"/>
    </row>
    <row r="183" spans="1:9" ht="13.5" thickBot="1">
      <c r="A183" s="31">
        <v>1933</v>
      </c>
      <c r="B183" s="31"/>
      <c r="C183" s="31"/>
      <c r="D183" s="31"/>
      <c r="E183" s="31"/>
      <c r="F183" s="31"/>
      <c r="G183" s="31"/>
      <c r="H183" s="31"/>
      <c r="I183" s="31"/>
    </row>
    <row r="184" spans="1:9" ht="13.5" thickBot="1">
      <c r="A184" s="31">
        <v>1937</v>
      </c>
      <c r="B184" s="31"/>
      <c r="C184" s="31"/>
      <c r="D184" s="31"/>
      <c r="E184" s="31"/>
      <c r="F184" s="31"/>
      <c r="G184" s="31"/>
      <c r="H184" s="31"/>
      <c r="I184" s="31"/>
    </row>
    <row r="185" spans="1:9" ht="13.5" thickBot="1">
      <c r="A185" s="31">
        <v>1946</v>
      </c>
      <c r="B185" s="31"/>
      <c r="C185" s="31"/>
      <c r="D185" s="31"/>
      <c r="E185" s="31"/>
      <c r="F185" s="31"/>
      <c r="G185" s="31"/>
      <c r="H185" s="31"/>
      <c r="I185" s="31"/>
    </row>
    <row r="186" spans="1:9" ht="13.5" thickBot="1">
      <c r="A186" s="31">
        <v>1915</v>
      </c>
      <c r="B186" s="31"/>
      <c r="C186" s="31"/>
      <c r="D186" s="31"/>
      <c r="E186" s="31"/>
      <c r="F186" s="31"/>
      <c r="G186" s="31"/>
      <c r="H186" s="31"/>
      <c r="I186" s="31"/>
    </row>
    <row r="187" spans="1:9" ht="13.5" thickBot="1">
      <c r="A187" s="31">
        <v>1965</v>
      </c>
      <c r="B187" s="31"/>
      <c r="C187" s="31"/>
      <c r="D187" s="31"/>
      <c r="E187" s="31"/>
      <c r="F187" s="31"/>
      <c r="G187" s="31"/>
      <c r="H187" s="31"/>
      <c r="I187" s="31"/>
    </row>
    <row r="188" spans="1:9" ht="32.25" thickBot="1">
      <c r="A188" s="30" t="s">
        <v>640</v>
      </c>
      <c r="B188" s="30"/>
      <c r="C188" s="30"/>
      <c r="D188" s="30"/>
      <c r="E188" s="30"/>
      <c r="F188" s="30"/>
      <c r="G188" s="30"/>
      <c r="H188" s="30"/>
      <c r="I188" s="30"/>
    </row>
    <row r="189" spans="1:9" ht="13.5" thickBot="1">
      <c r="A189" s="31">
        <v>1933</v>
      </c>
      <c r="B189" s="31"/>
      <c r="C189" s="31"/>
      <c r="D189" s="31"/>
      <c r="E189" s="31"/>
      <c r="F189" s="31"/>
      <c r="G189" s="31"/>
      <c r="H189" s="31"/>
      <c r="I189" s="31"/>
    </row>
    <row r="190" spans="1:9" ht="13.5" thickBot="1">
      <c r="A190" s="31">
        <v>1937</v>
      </c>
      <c r="B190" s="31"/>
      <c r="C190" s="31"/>
      <c r="D190" s="31"/>
      <c r="E190" s="31"/>
      <c r="F190" s="31"/>
      <c r="G190" s="31"/>
      <c r="H190" s="31"/>
      <c r="I190" s="31"/>
    </row>
    <row r="191" spans="1:9" ht="13.5" thickBot="1">
      <c r="A191" s="31">
        <v>1946</v>
      </c>
      <c r="B191" s="31"/>
      <c r="C191" s="31"/>
      <c r="D191" s="31"/>
      <c r="E191" s="31"/>
      <c r="F191" s="31"/>
      <c r="G191" s="31"/>
      <c r="H191" s="31"/>
      <c r="I191" s="31"/>
    </row>
    <row r="192" spans="1:9" ht="13.5" thickBot="1">
      <c r="A192" s="31">
        <v>1915</v>
      </c>
      <c r="B192" s="31"/>
      <c r="C192" s="31"/>
      <c r="D192" s="31"/>
      <c r="E192" s="31"/>
      <c r="F192" s="31"/>
      <c r="G192" s="31"/>
      <c r="H192" s="31"/>
      <c r="I192" s="31"/>
    </row>
    <row r="193" spans="1:9" ht="13.5" thickBot="1">
      <c r="A193" s="31">
        <v>1965</v>
      </c>
      <c r="B193" s="31"/>
      <c r="C193" s="31"/>
      <c r="D193" s="31"/>
      <c r="E193" s="31"/>
      <c r="F193" s="31"/>
      <c r="G193" s="31"/>
      <c r="H193" s="31"/>
      <c r="I193" s="31"/>
    </row>
    <row r="194" spans="1:9" ht="21.75" thickBot="1">
      <c r="A194" s="30" t="s">
        <v>641</v>
      </c>
      <c r="B194" s="30"/>
      <c r="C194" s="30"/>
      <c r="D194" s="30"/>
      <c r="E194" s="30"/>
      <c r="F194" s="30"/>
      <c r="G194" s="30"/>
      <c r="H194" s="30"/>
      <c r="I194" s="30"/>
    </row>
    <row r="195" spans="1:9" ht="13.5" thickBot="1">
      <c r="A195" s="31">
        <v>1933</v>
      </c>
      <c r="B195" s="31"/>
      <c r="C195" s="31"/>
      <c r="D195" s="31"/>
      <c r="E195" s="31"/>
      <c r="F195" s="31"/>
      <c r="G195" s="31"/>
      <c r="H195" s="31"/>
      <c r="I195" s="31"/>
    </row>
    <row r="196" spans="1:9" ht="13.5" thickBot="1">
      <c r="A196" s="31">
        <v>1937</v>
      </c>
      <c r="B196" s="31"/>
      <c r="C196" s="31"/>
      <c r="D196" s="31"/>
      <c r="E196" s="31"/>
      <c r="F196" s="31"/>
      <c r="G196" s="31"/>
      <c r="H196" s="31"/>
      <c r="I196" s="31"/>
    </row>
    <row r="197" spans="1:9" ht="13.5" thickBot="1">
      <c r="A197" s="31">
        <v>1946</v>
      </c>
      <c r="B197" s="31"/>
      <c r="C197" s="31"/>
      <c r="D197" s="31"/>
      <c r="E197" s="31"/>
      <c r="F197" s="31"/>
      <c r="G197" s="31"/>
      <c r="H197" s="31"/>
      <c r="I197" s="31"/>
    </row>
    <row r="198" spans="1:9" ht="13.5" thickBot="1">
      <c r="A198" s="31">
        <v>1915</v>
      </c>
      <c r="B198" s="31"/>
      <c r="C198" s="31"/>
      <c r="D198" s="31"/>
      <c r="E198" s="31"/>
      <c r="F198" s="31"/>
      <c r="G198" s="31"/>
      <c r="H198" s="31"/>
      <c r="I198" s="31"/>
    </row>
    <row r="199" spans="1:9" ht="13.5" thickBot="1">
      <c r="A199" s="31">
        <v>1965</v>
      </c>
      <c r="B199" s="31"/>
      <c r="C199" s="31"/>
      <c r="D199" s="31"/>
      <c r="E199" s="31"/>
      <c r="F199" s="31"/>
      <c r="G199" s="31"/>
      <c r="H199" s="31"/>
      <c r="I199" s="31"/>
    </row>
    <row r="200" spans="1:9" ht="32.25" thickBot="1">
      <c r="A200" s="30" t="s">
        <v>642</v>
      </c>
      <c r="B200" s="30"/>
      <c r="C200" s="30"/>
      <c r="D200" s="30"/>
      <c r="E200" s="30"/>
      <c r="F200" s="30"/>
      <c r="G200" s="30"/>
      <c r="H200" s="30"/>
      <c r="I200" s="30"/>
    </row>
    <row r="201" spans="1:9" ht="13.5" thickBot="1">
      <c r="A201" s="31">
        <v>1933</v>
      </c>
      <c r="B201" s="31"/>
      <c r="C201" s="31"/>
      <c r="D201" s="31"/>
      <c r="E201" s="31"/>
      <c r="F201" s="31"/>
      <c r="G201" s="31"/>
      <c r="H201" s="31"/>
      <c r="I201" s="31"/>
    </row>
    <row r="202" spans="1:9" ht="13.5" thickBot="1">
      <c r="A202" s="31">
        <v>1937</v>
      </c>
      <c r="B202" s="31"/>
      <c r="C202" s="31"/>
      <c r="D202" s="31"/>
      <c r="E202" s="31"/>
      <c r="F202" s="31"/>
      <c r="G202" s="31"/>
      <c r="H202" s="31"/>
      <c r="I202" s="31"/>
    </row>
    <row r="203" spans="1:9" ht="13.5" thickBot="1">
      <c r="A203" s="31">
        <v>1946</v>
      </c>
      <c r="B203" s="31"/>
      <c r="C203" s="31"/>
      <c r="D203" s="31"/>
      <c r="E203" s="31"/>
      <c r="F203" s="31"/>
      <c r="G203" s="31"/>
      <c r="H203" s="31"/>
      <c r="I203" s="31"/>
    </row>
    <row r="204" spans="1:9" ht="13.5" thickBot="1">
      <c r="A204" s="31">
        <v>1915</v>
      </c>
      <c r="B204" s="31"/>
      <c r="C204" s="31"/>
      <c r="D204" s="31"/>
      <c r="E204" s="31"/>
      <c r="F204" s="31"/>
      <c r="G204" s="31"/>
      <c r="H204" s="31"/>
      <c r="I204" s="31"/>
    </row>
    <row r="205" spans="1:9" ht="13.5" thickBot="1">
      <c r="A205" s="31">
        <v>1965</v>
      </c>
      <c r="B205" s="31"/>
      <c r="C205" s="31"/>
      <c r="D205" s="31"/>
      <c r="E205" s="31"/>
      <c r="F205" s="31"/>
      <c r="G205" s="31"/>
      <c r="H205" s="31"/>
      <c r="I205" s="31"/>
    </row>
    <row r="206" spans="1:9" ht="21.75" thickBot="1">
      <c r="A206" s="30" t="s">
        <v>643</v>
      </c>
      <c r="B206" s="30"/>
      <c r="C206" s="30"/>
      <c r="D206" s="30"/>
      <c r="E206" s="30"/>
      <c r="F206" s="30"/>
      <c r="G206" s="30"/>
      <c r="H206" s="30"/>
      <c r="I206" s="30"/>
    </row>
    <row r="207" spans="1:9" ht="13.5" thickBot="1">
      <c r="A207" s="31">
        <v>1933</v>
      </c>
      <c r="B207" s="31"/>
      <c r="C207" s="31"/>
      <c r="D207" s="31"/>
      <c r="E207" s="31"/>
      <c r="F207" s="31"/>
      <c r="G207" s="31"/>
      <c r="H207" s="31"/>
      <c r="I207" s="31"/>
    </row>
    <row r="208" spans="1:9" ht="13.5" thickBot="1">
      <c r="A208" s="31">
        <v>1937</v>
      </c>
      <c r="B208" s="31"/>
      <c r="C208" s="31"/>
      <c r="D208" s="31"/>
      <c r="E208" s="31"/>
      <c r="F208" s="31"/>
      <c r="G208" s="31"/>
      <c r="H208" s="31"/>
      <c r="I208" s="31"/>
    </row>
    <row r="209" spans="1:9" ht="13.5" thickBot="1">
      <c r="A209" s="31">
        <v>1946</v>
      </c>
      <c r="B209" s="31"/>
      <c r="C209" s="31"/>
      <c r="D209" s="31"/>
      <c r="E209" s="31"/>
      <c r="F209" s="31"/>
      <c r="G209" s="31"/>
      <c r="H209" s="31"/>
      <c r="I209" s="31"/>
    </row>
    <row r="210" spans="1:9" ht="13.5" thickBot="1">
      <c r="A210" s="31">
        <v>1915</v>
      </c>
      <c r="B210" s="31"/>
      <c r="C210" s="31"/>
      <c r="D210" s="31"/>
      <c r="E210" s="31"/>
      <c r="F210" s="31"/>
      <c r="G210" s="31"/>
      <c r="H210" s="31"/>
      <c r="I210" s="31"/>
    </row>
    <row r="211" spans="1:9" ht="13.5" thickBot="1">
      <c r="A211" s="31">
        <v>1965</v>
      </c>
      <c r="B211" s="31"/>
      <c r="C211" s="31"/>
      <c r="D211" s="31"/>
      <c r="E211" s="31"/>
      <c r="F211" s="31"/>
      <c r="G211" s="31"/>
      <c r="H211" s="31"/>
      <c r="I211" s="31"/>
    </row>
    <row r="212" spans="1:9" ht="21.75" thickBot="1">
      <c r="A212" s="30" t="s">
        <v>644</v>
      </c>
      <c r="B212" s="30"/>
      <c r="C212" s="30"/>
      <c r="D212" s="30"/>
      <c r="E212" s="30"/>
      <c r="F212" s="30"/>
      <c r="G212" s="30"/>
      <c r="H212" s="30"/>
      <c r="I212" s="30"/>
    </row>
    <row r="213" spans="1:9" ht="13.5" thickBot="1">
      <c r="A213" s="31">
        <v>1933</v>
      </c>
      <c r="B213" s="31"/>
      <c r="C213" s="31"/>
      <c r="D213" s="31"/>
      <c r="E213" s="31"/>
      <c r="F213" s="31"/>
      <c r="G213" s="31"/>
      <c r="H213" s="31"/>
      <c r="I213" s="31"/>
    </row>
    <row r="214" spans="1:9" ht="13.5" thickBot="1">
      <c r="A214" s="31">
        <v>1937</v>
      </c>
      <c r="B214" s="31"/>
      <c r="C214" s="31"/>
      <c r="D214" s="31"/>
      <c r="E214" s="31"/>
      <c r="F214" s="31"/>
      <c r="G214" s="31"/>
      <c r="H214" s="31"/>
      <c r="I214" s="31"/>
    </row>
    <row r="215" spans="1:9" ht="13.5" thickBot="1">
      <c r="A215" s="31">
        <v>1946</v>
      </c>
      <c r="B215" s="31"/>
      <c r="C215" s="31"/>
      <c r="D215" s="31"/>
      <c r="E215" s="31"/>
      <c r="F215" s="31"/>
      <c r="G215" s="31"/>
      <c r="H215" s="31"/>
      <c r="I215" s="31"/>
    </row>
    <row r="216" spans="1:9" ht="13.5" thickBot="1">
      <c r="A216" s="31">
        <v>1915</v>
      </c>
      <c r="B216" s="31"/>
      <c r="C216" s="31"/>
      <c r="D216" s="31"/>
      <c r="E216" s="31"/>
      <c r="F216" s="31"/>
      <c r="G216" s="31"/>
      <c r="H216" s="31"/>
      <c r="I216" s="31"/>
    </row>
    <row r="217" spans="1:9" ht="13.5" thickBot="1">
      <c r="A217" s="31">
        <v>1965</v>
      </c>
      <c r="B217" s="31"/>
      <c r="C217" s="31"/>
      <c r="D217" s="31"/>
      <c r="E217" s="31"/>
      <c r="F217" s="31"/>
      <c r="G217" s="31"/>
      <c r="H217" s="31"/>
      <c r="I217" s="31"/>
    </row>
    <row r="218" spans="1:9" ht="42.75" thickBot="1">
      <c r="A218" s="30" t="s">
        <v>645</v>
      </c>
      <c r="B218" s="30"/>
      <c r="C218" s="30"/>
      <c r="D218" s="30"/>
      <c r="E218" s="30"/>
      <c r="F218" s="30"/>
      <c r="G218" s="30"/>
      <c r="H218" s="30"/>
      <c r="I218" s="30"/>
    </row>
    <row r="219" spans="1:9" ht="13.5" thickBot="1">
      <c r="A219" s="31">
        <v>1933</v>
      </c>
      <c r="B219" s="31"/>
      <c r="C219" s="31"/>
      <c r="D219" s="31"/>
      <c r="E219" s="31"/>
      <c r="F219" s="31"/>
      <c r="G219" s="31"/>
      <c r="H219" s="31"/>
      <c r="I219" s="31"/>
    </row>
    <row r="220" spans="1:9" ht="13.5" thickBot="1">
      <c r="A220" s="31">
        <v>1937</v>
      </c>
      <c r="B220" s="31"/>
      <c r="C220" s="31"/>
      <c r="D220" s="31"/>
      <c r="E220" s="31"/>
      <c r="F220" s="31"/>
      <c r="G220" s="31"/>
      <c r="H220" s="31"/>
      <c r="I220" s="31"/>
    </row>
    <row r="221" spans="1:9" ht="13.5" thickBot="1">
      <c r="A221" s="31">
        <v>1946</v>
      </c>
      <c r="B221" s="31"/>
      <c r="C221" s="31"/>
      <c r="D221" s="31"/>
      <c r="E221" s="31"/>
      <c r="F221" s="31"/>
      <c r="G221" s="31"/>
      <c r="H221" s="31"/>
      <c r="I221" s="31"/>
    </row>
    <row r="222" spans="1:9" ht="13.5" thickBot="1">
      <c r="A222" s="31">
        <v>1915</v>
      </c>
      <c r="B222" s="31"/>
      <c r="C222" s="31"/>
      <c r="D222" s="31"/>
      <c r="E222" s="31"/>
      <c r="F222" s="31"/>
      <c r="G222" s="31"/>
      <c r="H222" s="31"/>
      <c r="I222" s="31"/>
    </row>
    <row r="223" spans="1:9" ht="13.5" thickBot="1">
      <c r="A223" s="31">
        <v>1965</v>
      </c>
      <c r="B223" s="31"/>
      <c r="C223" s="31"/>
      <c r="D223" s="31"/>
      <c r="E223" s="31"/>
      <c r="F223" s="31"/>
      <c r="G223" s="31"/>
      <c r="H223" s="31"/>
      <c r="I223" s="31"/>
    </row>
    <row r="224" spans="1:9" ht="42.75" thickBot="1">
      <c r="A224" s="30" t="s">
        <v>646</v>
      </c>
      <c r="B224" s="30"/>
      <c r="C224" s="30"/>
      <c r="D224" s="30"/>
      <c r="E224" s="30"/>
      <c r="F224" s="30"/>
      <c r="G224" s="30"/>
      <c r="H224" s="30"/>
      <c r="I224" s="30"/>
    </row>
    <row r="225" spans="1:9" ht="13.5" thickBot="1">
      <c r="A225" s="31">
        <v>1933</v>
      </c>
      <c r="B225" s="31"/>
      <c r="C225" s="31"/>
      <c r="D225" s="31"/>
      <c r="E225" s="31"/>
      <c r="F225" s="31"/>
      <c r="G225" s="31"/>
      <c r="H225" s="31"/>
      <c r="I225" s="31"/>
    </row>
    <row r="226" spans="1:9" ht="13.5" thickBot="1">
      <c r="A226" s="31">
        <v>1937</v>
      </c>
      <c r="B226" s="31"/>
      <c r="C226" s="31"/>
      <c r="D226" s="31"/>
      <c r="E226" s="31"/>
      <c r="F226" s="31"/>
      <c r="G226" s="31"/>
      <c r="H226" s="31"/>
      <c r="I226" s="31"/>
    </row>
    <row r="227" spans="1:9" ht="13.5" thickBot="1">
      <c r="A227" s="31">
        <v>1946</v>
      </c>
      <c r="B227" s="31"/>
      <c r="C227" s="31"/>
      <c r="D227" s="31"/>
      <c r="E227" s="31"/>
      <c r="F227" s="31"/>
      <c r="G227" s="31"/>
      <c r="H227" s="31"/>
      <c r="I227" s="31"/>
    </row>
    <row r="228" spans="1:9" ht="13.5" thickBot="1">
      <c r="A228" s="31">
        <v>1915</v>
      </c>
      <c r="B228" s="31"/>
      <c r="C228" s="31"/>
      <c r="D228" s="31"/>
      <c r="E228" s="31"/>
      <c r="F228" s="31"/>
      <c r="G228" s="31"/>
      <c r="H228" s="31"/>
      <c r="I228" s="31"/>
    </row>
    <row r="229" spans="1:9" ht="13.5" thickBot="1">
      <c r="A229" s="31">
        <v>1965</v>
      </c>
      <c r="B229" s="31"/>
      <c r="C229" s="31"/>
      <c r="D229" s="31"/>
      <c r="E229" s="31"/>
      <c r="F229" s="31"/>
      <c r="G229" s="31"/>
      <c r="H229" s="31"/>
      <c r="I229" s="31"/>
    </row>
    <row r="230" spans="1:9" ht="21.75" thickBot="1">
      <c r="A230" s="30" t="s">
        <v>647</v>
      </c>
      <c r="B230" s="30"/>
      <c r="C230" s="30"/>
      <c r="D230" s="30"/>
      <c r="E230" s="30"/>
      <c r="F230" s="30"/>
      <c r="G230" s="30"/>
      <c r="H230" s="30"/>
      <c r="I230" s="30"/>
    </row>
    <row r="231" spans="1:9" ht="13.5" thickBot="1">
      <c r="A231" s="31">
        <v>1933</v>
      </c>
      <c r="B231" s="31"/>
      <c r="C231" s="31"/>
      <c r="D231" s="31"/>
      <c r="E231" s="31"/>
      <c r="F231" s="31"/>
      <c r="G231" s="31"/>
      <c r="H231" s="31"/>
      <c r="I231" s="31"/>
    </row>
    <row r="232" spans="1:9" ht="13.5" thickBot="1">
      <c r="A232" s="31">
        <v>1937</v>
      </c>
      <c r="B232" s="31"/>
      <c r="C232" s="31"/>
      <c r="D232" s="31"/>
      <c r="E232" s="31"/>
      <c r="F232" s="31"/>
      <c r="G232" s="31"/>
      <c r="H232" s="31"/>
      <c r="I232" s="31"/>
    </row>
    <row r="233" spans="1:9" ht="13.5" thickBot="1">
      <c r="A233" s="31">
        <v>1946</v>
      </c>
      <c r="B233" s="31"/>
      <c r="C233" s="31"/>
      <c r="D233" s="31"/>
      <c r="E233" s="31"/>
      <c r="F233" s="31"/>
      <c r="G233" s="31"/>
      <c r="H233" s="31"/>
      <c r="I233" s="31"/>
    </row>
    <row r="234" spans="1:9" ht="13.5" thickBot="1">
      <c r="A234" s="31">
        <v>1915</v>
      </c>
      <c r="B234" s="31"/>
      <c r="C234" s="31"/>
      <c r="D234" s="31"/>
      <c r="E234" s="31"/>
      <c r="F234" s="31"/>
      <c r="G234" s="31"/>
      <c r="H234" s="31"/>
      <c r="I234" s="31"/>
    </row>
    <row r="235" spans="1:9" ht="13.5" thickBot="1">
      <c r="A235" s="31">
        <v>1965</v>
      </c>
      <c r="B235" s="31"/>
      <c r="C235" s="31"/>
      <c r="D235" s="31"/>
      <c r="E235" s="31"/>
      <c r="F235" s="31"/>
      <c r="G235" s="31"/>
      <c r="H235" s="31"/>
      <c r="I235" s="31"/>
    </row>
    <row r="236" spans="1:9" ht="32.25" thickBot="1">
      <c r="A236" s="30" t="s">
        <v>742</v>
      </c>
      <c r="B236" s="30"/>
      <c r="C236" s="30"/>
      <c r="D236" s="30"/>
      <c r="E236" s="30"/>
      <c r="F236" s="30"/>
      <c r="G236" s="30"/>
      <c r="H236" s="30"/>
      <c r="I236" s="30"/>
    </row>
    <row r="237" spans="1:9" ht="13.5" thickBot="1">
      <c r="A237" s="31">
        <v>1933</v>
      </c>
      <c r="B237" s="31"/>
      <c r="C237" s="31"/>
      <c r="D237" s="31"/>
      <c r="E237" s="31"/>
      <c r="F237" s="31"/>
      <c r="G237" s="31"/>
      <c r="H237" s="31"/>
      <c r="I237" s="31"/>
    </row>
    <row r="238" spans="1:9" ht="13.5" thickBot="1">
      <c r="A238" s="31">
        <v>1937</v>
      </c>
      <c r="B238" s="31"/>
      <c r="C238" s="31"/>
      <c r="D238" s="31"/>
      <c r="E238" s="31"/>
      <c r="F238" s="31"/>
      <c r="G238" s="31"/>
      <c r="H238" s="31"/>
      <c r="I238" s="31"/>
    </row>
    <row r="239" spans="1:9" ht="13.5" thickBot="1">
      <c r="A239" s="31">
        <v>1946</v>
      </c>
      <c r="B239" s="31"/>
      <c r="C239" s="31"/>
      <c r="D239" s="31"/>
      <c r="E239" s="31"/>
      <c r="F239" s="31"/>
      <c r="G239" s="31"/>
      <c r="H239" s="31"/>
      <c r="I239" s="31"/>
    </row>
    <row r="240" spans="1:9" ht="13.5" thickBot="1">
      <c r="A240" s="31">
        <v>1915</v>
      </c>
      <c r="B240" s="31"/>
      <c r="C240" s="31"/>
      <c r="D240" s="31"/>
      <c r="E240" s="31"/>
      <c r="F240" s="31"/>
      <c r="G240" s="31"/>
      <c r="H240" s="31"/>
      <c r="I240" s="31"/>
    </row>
    <row r="241" spans="1:9" ht="13.5" thickBot="1">
      <c r="A241" s="31">
        <v>1965</v>
      </c>
      <c r="B241" s="31"/>
      <c r="C241" s="31"/>
      <c r="D241" s="31"/>
      <c r="E241" s="31"/>
      <c r="F241" s="31"/>
      <c r="G241" s="31"/>
      <c r="H241" s="31"/>
      <c r="I241" s="31"/>
    </row>
    <row r="242" spans="1:9" ht="53.25" thickBot="1">
      <c r="A242" s="30" t="s">
        <v>733</v>
      </c>
      <c r="B242" s="30"/>
      <c r="C242" s="30"/>
      <c r="D242" s="30"/>
      <c r="E242" s="30"/>
      <c r="F242" s="30"/>
      <c r="G242" s="30"/>
      <c r="H242" s="30"/>
      <c r="I242" s="30"/>
    </row>
    <row r="243" spans="1:9" ht="13.5" thickBot="1">
      <c r="A243" s="31">
        <v>1933</v>
      </c>
      <c r="B243" s="31"/>
      <c r="C243" s="31"/>
      <c r="D243" s="31"/>
      <c r="E243" s="31"/>
      <c r="F243" s="31"/>
      <c r="G243" s="31"/>
      <c r="H243" s="31"/>
      <c r="I243" s="31"/>
    </row>
    <row r="244" spans="1:9" ht="13.5" thickBot="1">
      <c r="A244" s="31">
        <v>1937</v>
      </c>
      <c r="B244" s="31"/>
      <c r="C244" s="31"/>
      <c r="D244" s="31"/>
      <c r="E244" s="31"/>
      <c r="F244" s="31"/>
      <c r="G244" s="31"/>
      <c r="H244" s="31"/>
      <c r="I244" s="31"/>
    </row>
    <row r="245" spans="1:9" ht="13.5" thickBot="1">
      <c r="A245" s="31">
        <v>1946</v>
      </c>
      <c r="B245" s="31"/>
      <c r="C245" s="31"/>
      <c r="D245" s="31"/>
      <c r="E245" s="31"/>
      <c r="F245" s="31"/>
      <c r="G245" s="31"/>
      <c r="H245" s="31"/>
      <c r="I245" s="31"/>
    </row>
    <row r="246" spans="1:9" ht="13.5" thickBot="1">
      <c r="A246" s="31">
        <v>1915</v>
      </c>
      <c r="B246" s="31"/>
      <c r="C246" s="31"/>
      <c r="D246" s="31"/>
      <c r="E246" s="31"/>
      <c r="F246" s="31"/>
      <c r="G246" s="31"/>
      <c r="H246" s="31"/>
      <c r="I246" s="31"/>
    </row>
    <row r="247" spans="1:9" ht="13.5" thickBot="1">
      <c r="A247" s="31">
        <v>1965</v>
      </c>
      <c r="B247" s="31"/>
      <c r="C247" s="31"/>
      <c r="D247" s="31"/>
      <c r="E247" s="31"/>
      <c r="F247" s="31"/>
      <c r="G247" s="31"/>
      <c r="H247" s="31"/>
      <c r="I247" s="31"/>
    </row>
    <row r="248" spans="1:9" ht="32.25" thickBot="1">
      <c r="A248" s="30" t="s">
        <v>648</v>
      </c>
      <c r="B248" s="30"/>
      <c r="C248" s="30"/>
      <c r="D248" s="30"/>
      <c r="E248" s="30"/>
      <c r="F248" s="30"/>
      <c r="G248" s="30"/>
      <c r="H248" s="30"/>
      <c r="I248" s="30"/>
    </row>
    <row r="249" spans="1:9" ht="13.5" thickBot="1">
      <c r="A249" s="31">
        <v>1933</v>
      </c>
      <c r="B249" s="31"/>
      <c r="C249" s="31"/>
      <c r="D249" s="31"/>
      <c r="E249" s="31"/>
      <c r="F249" s="31"/>
      <c r="G249" s="31"/>
      <c r="H249" s="31"/>
      <c r="I249" s="31"/>
    </row>
    <row r="250" spans="1:9" ht="13.5" thickBot="1">
      <c r="A250" s="31">
        <v>1937</v>
      </c>
      <c r="B250" s="31"/>
      <c r="C250" s="31"/>
      <c r="D250" s="31"/>
      <c r="E250" s="31"/>
      <c r="F250" s="31"/>
      <c r="G250" s="31"/>
      <c r="H250" s="31"/>
      <c r="I250" s="31"/>
    </row>
    <row r="251" spans="1:9" ht="13.5" thickBot="1">
      <c r="A251" s="31">
        <v>1946</v>
      </c>
      <c r="B251" s="31"/>
      <c r="C251" s="31"/>
      <c r="D251" s="31"/>
      <c r="E251" s="31"/>
      <c r="F251" s="31"/>
      <c r="G251" s="31"/>
      <c r="H251" s="31"/>
      <c r="I251" s="31"/>
    </row>
    <row r="252" spans="1:9" ht="13.5" thickBot="1">
      <c r="A252" s="31">
        <v>1915</v>
      </c>
      <c r="B252" s="31"/>
      <c r="C252" s="31"/>
      <c r="D252" s="31"/>
      <c r="E252" s="31"/>
      <c r="F252" s="31"/>
      <c r="G252" s="31"/>
      <c r="H252" s="31"/>
      <c r="I252" s="31"/>
    </row>
    <row r="253" spans="1:9" ht="13.5" thickBot="1">
      <c r="A253" s="31">
        <v>1965</v>
      </c>
      <c r="B253" s="31"/>
      <c r="C253" s="31"/>
      <c r="D253" s="31"/>
      <c r="E253" s="31"/>
      <c r="F253" s="31"/>
      <c r="G253" s="31"/>
      <c r="H253" s="31"/>
      <c r="I253" s="31"/>
    </row>
    <row r="254" spans="1:9" ht="42.75" thickBot="1">
      <c r="A254" s="30" t="s">
        <v>734</v>
      </c>
      <c r="B254" s="30"/>
      <c r="C254" s="30"/>
      <c r="D254" s="30"/>
      <c r="E254" s="30"/>
      <c r="F254" s="30"/>
      <c r="G254" s="30"/>
      <c r="H254" s="30"/>
      <c r="I254" s="30"/>
    </row>
    <row r="255" spans="1:9" ht="13.5" thickBot="1">
      <c r="A255" s="31">
        <v>1933</v>
      </c>
      <c r="B255" s="31"/>
      <c r="C255" s="31"/>
      <c r="D255" s="31"/>
      <c r="E255" s="31"/>
      <c r="F255" s="31"/>
      <c r="G255" s="31"/>
      <c r="H255" s="31"/>
      <c r="I255" s="31"/>
    </row>
    <row r="256" spans="1:9" ht="13.5" thickBot="1">
      <c r="A256" s="31">
        <v>1937</v>
      </c>
      <c r="B256" s="31"/>
      <c r="C256" s="31"/>
      <c r="D256" s="31"/>
      <c r="E256" s="31"/>
      <c r="F256" s="31"/>
      <c r="G256" s="31"/>
      <c r="H256" s="31"/>
      <c r="I256" s="31"/>
    </row>
    <row r="257" spans="1:9" ht="13.5" thickBot="1">
      <c r="A257" s="31">
        <v>1946</v>
      </c>
      <c r="B257" s="31"/>
      <c r="C257" s="31"/>
      <c r="D257" s="31"/>
      <c r="E257" s="31"/>
      <c r="F257" s="31"/>
      <c r="G257" s="31"/>
      <c r="H257" s="31"/>
      <c r="I257" s="31"/>
    </row>
    <row r="258" spans="1:9" ht="13.5" thickBot="1">
      <c r="A258" s="31">
        <v>1915</v>
      </c>
      <c r="B258" s="31"/>
      <c r="C258" s="31"/>
      <c r="D258" s="31"/>
      <c r="E258" s="31"/>
      <c r="F258" s="31"/>
      <c r="G258" s="31"/>
      <c r="H258" s="31"/>
      <c r="I258" s="31"/>
    </row>
    <row r="259" spans="1:9" ht="13.5" thickBot="1">
      <c r="A259" s="31">
        <v>1965</v>
      </c>
      <c r="B259" s="31"/>
      <c r="C259" s="31"/>
      <c r="D259" s="31"/>
      <c r="E259" s="31"/>
      <c r="F259" s="31"/>
      <c r="G259" s="31"/>
      <c r="H259" s="31"/>
      <c r="I259" s="31"/>
    </row>
    <row r="260" spans="1:9" ht="32.25" thickBot="1">
      <c r="A260" s="30" t="s">
        <v>735</v>
      </c>
      <c r="B260" s="30"/>
      <c r="C260" s="30"/>
      <c r="D260" s="30"/>
      <c r="E260" s="30"/>
      <c r="F260" s="30"/>
      <c r="G260" s="30"/>
      <c r="H260" s="30"/>
      <c r="I260" s="30"/>
    </row>
    <row r="261" spans="1:9" ht="13.5" thickBot="1">
      <c r="A261" s="31">
        <v>1933</v>
      </c>
      <c r="B261" s="31"/>
      <c r="C261" s="31"/>
      <c r="D261" s="31"/>
      <c r="E261" s="31"/>
      <c r="F261" s="31"/>
      <c r="G261" s="31"/>
      <c r="H261" s="31"/>
      <c r="I261" s="31"/>
    </row>
    <row r="262" spans="1:9" ht="13.5" thickBot="1">
      <c r="A262" s="31">
        <v>1937</v>
      </c>
      <c r="B262" s="31"/>
      <c r="C262" s="31"/>
      <c r="D262" s="31"/>
      <c r="E262" s="31"/>
      <c r="F262" s="31"/>
      <c r="G262" s="31"/>
      <c r="H262" s="31"/>
      <c r="I262" s="31"/>
    </row>
    <row r="263" spans="1:9" ht="13.5" thickBot="1">
      <c r="A263" s="31">
        <v>1946</v>
      </c>
      <c r="B263" s="31"/>
      <c r="C263" s="31"/>
      <c r="D263" s="31"/>
      <c r="E263" s="31"/>
      <c r="F263" s="31"/>
      <c r="G263" s="31"/>
      <c r="H263" s="31"/>
      <c r="I263" s="31"/>
    </row>
    <row r="264" spans="1:9" ht="13.5" thickBot="1">
      <c r="A264" s="31">
        <v>1915</v>
      </c>
      <c r="B264" s="31"/>
      <c r="C264" s="31"/>
      <c r="D264" s="31"/>
      <c r="E264" s="31"/>
      <c r="F264" s="31"/>
      <c r="G264" s="31"/>
      <c r="H264" s="31"/>
      <c r="I264" s="31"/>
    </row>
    <row r="265" spans="1:9" ht="13.5" thickBot="1">
      <c r="A265" s="31">
        <v>1965</v>
      </c>
      <c r="B265" s="31"/>
      <c r="C265" s="31"/>
      <c r="D265" s="31"/>
      <c r="E265" s="31"/>
      <c r="F265" s="31"/>
      <c r="G265" s="31"/>
      <c r="H265" s="31"/>
      <c r="I265" s="31"/>
    </row>
    <row r="266" spans="1:9" ht="21.75" thickBot="1">
      <c r="A266" s="30" t="s">
        <v>649</v>
      </c>
      <c r="B266" s="30"/>
      <c r="C266" s="30"/>
      <c r="D266" s="30"/>
      <c r="E266" s="30"/>
      <c r="F266" s="30"/>
      <c r="G266" s="30"/>
      <c r="H266" s="30"/>
      <c r="I266" s="30"/>
    </row>
    <row r="267" spans="1:9" ht="13.5" thickBot="1">
      <c r="A267" s="31">
        <v>1933</v>
      </c>
      <c r="B267" s="31"/>
      <c r="C267" s="31"/>
      <c r="D267" s="31"/>
      <c r="E267" s="31"/>
      <c r="F267" s="31"/>
      <c r="G267" s="31"/>
      <c r="H267" s="31"/>
      <c r="I267" s="31"/>
    </row>
    <row r="268" spans="1:9" ht="13.5" thickBot="1">
      <c r="A268" s="31">
        <v>1937</v>
      </c>
      <c r="B268" s="31"/>
      <c r="C268" s="31"/>
      <c r="D268" s="31"/>
      <c r="E268" s="31"/>
      <c r="F268" s="31"/>
      <c r="G268" s="31"/>
      <c r="H268" s="31"/>
      <c r="I268" s="31"/>
    </row>
    <row r="269" spans="1:9" ht="13.5" thickBot="1">
      <c r="A269" s="31">
        <v>1946</v>
      </c>
      <c r="B269" s="31"/>
      <c r="C269" s="31"/>
      <c r="D269" s="31"/>
      <c r="E269" s="31"/>
      <c r="F269" s="31"/>
      <c r="G269" s="31"/>
      <c r="H269" s="31"/>
      <c r="I269" s="31"/>
    </row>
    <row r="270" spans="1:9" ht="13.5" thickBot="1">
      <c r="A270" s="31">
        <v>1915</v>
      </c>
      <c r="B270" s="31"/>
      <c r="C270" s="31"/>
      <c r="D270" s="31"/>
      <c r="E270" s="31"/>
      <c r="F270" s="31"/>
      <c r="G270" s="31"/>
      <c r="H270" s="31"/>
      <c r="I270" s="31"/>
    </row>
    <row r="271" spans="1:9" ht="13.5" thickBot="1">
      <c r="A271" s="31">
        <v>1965</v>
      </c>
      <c r="B271" s="31"/>
      <c r="C271" s="31"/>
      <c r="D271" s="31"/>
      <c r="E271" s="31"/>
      <c r="F271" s="31"/>
      <c r="G271" s="31"/>
      <c r="H271" s="31"/>
      <c r="I271" s="31"/>
    </row>
    <row r="272" spans="1:9" ht="32.25" thickBot="1">
      <c r="A272" s="30" t="s">
        <v>710</v>
      </c>
      <c r="B272" s="30"/>
      <c r="C272" s="30"/>
      <c r="D272" s="30"/>
      <c r="E272" s="30"/>
      <c r="F272" s="30"/>
      <c r="G272" s="30"/>
      <c r="H272" s="30"/>
      <c r="I272" s="30"/>
    </row>
    <row r="273" spans="1:9" ht="13.5" thickBot="1">
      <c r="A273" s="31">
        <v>1933</v>
      </c>
      <c r="B273" s="31"/>
      <c r="C273" s="31"/>
      <c r="D273" s="31"/>
      <c r="E273" s="31"/>
      <c r="F273" s="31"/>
      <c r="G273" s="31"/>
      <c r="H273" s="31"/>
      <c r="I273" s="31"/>
    </row>
    <row r="274" spans="1:9" ht="13.5" thickBot="1">
      <c r="A274" s="31">
        <v>1937</v>
      </c>
      <c r="B274" s="31"/>
      <c r="C274" s="31"/>
      <c r="D274" s="31"/>
      <c r="E274" s="31"/>
      <c r="F274" s="31"/>
      <c r="G274" s="31"/>
      <c r="H274" s="31"/>
      <c r="I274" s="31"/>
    </row>
    <row r="275" spans="1:9" ht="13.5" thickBot="1">
      <c r="A275" s="31">
        <v>1946</v>
      </c>
      <c r="B275" s="31"/>
      <c r="C275" s="31"/>
      <c r="D275" s="31"/>
      <c r="E275" s="31"/>
      <c r="F275" s="31"/>
      <c r="G275" s="31"/>
      <c r="H275" s="31"/>
      <c r="I275" s="31"/>
    </row>
    <row r="276" spans="1:9" ht="13.5" thickBot="1">
      <c r="A276" s="31">
        <v>1915</v>
      </c>
      <c r="B276" s="31"/>
      <c r="C276" s="31"/>
      <c r="D276" s="31"/>
      <c r="E276" s="31"/>
      <c r="F276" s="31"/>
      <c r="G276" s="31"/>
      <c r="H276" s="31"/>
      <c r="I276" s="31"/>
    </row>
    <row r="277" spans="1:9" ht="13.5" thickBot="1">
      <c r="A277" s="31">
        <v>1965</v>
      </c>
      <c r="B277" s="31"/>
      <c r="C277" s="31"/>
      <c r="D277" s="31"/>
      <c r="E277" s="31"/>
      <c r="F277" s="31"/>
      <c r="G277" s="31"/>
      <c r="H277" s="31"/>
      <c r="I277" s="31"/>
    </row>
    <row r="278" spans="1:9" ht="13.5" thickBot="1">
      <c r="A278" s="30" t="s">
        <v>731</v>
      </c>
      <c r="B278" s="30"/>
      <c r="C278" s="30"/>
      <c r="D278" s="30"/>
      <c r="E278" s="30"/>
      <c r="F278" s="30"/>
      <c r="G278" s="30"/>
      <c r="H278" s="30"/>
      <c r="I278" s="30"/>
    </row>
    <row r="279" spans="1:9" ht="13.5" thickBot="1">
      <c r="A279" s="31">
        <v>1933</v>
      </c>
      <c r="B279" s="31"/>
      <c r="C279" s="31"/>
      <c r="D279" s="31"/>
      <c r="E279" s="31"/>
      <c r="F279" s="31"/>
      <c r="G279" s="31"/>
      <c r="H279" s="31"/>
      <c r="I279" s="31"/>
    </row>
    <row r="280" spans="1:9" ht="13.5" thickBot="1">
      <c r="A280" s="31">
        <v>1937</v>
      </c>
      <c r="B280" s="31"/>
      <c r="C280" s="31"/>
      <c r="D280" s="31"/>
      <c r="E280" s="31"/>
      <c r="F280" s="31"/>
      <c r="G280" s="31"/>
      <c r="H280" s="31"/>
      <c r="I280" s="31"/>
    </row>
    <row r="281" spans="1:9" ht="13.5" thickBot="1">
      <c r="A281" s="31">
        <v>1946</v>
      </c>
      <c r="B281" s="31"/>
      <c r="C281" s="31"/>
      <c r="D281" s="31"/>
      <c r="E281" s="31"/>
      <c r="F281" s="31"/>
      <c r="G281" s="31"/>
      <c r="H281" s="31"/>
      <c r="I281" s="31"/>
    </row>
    <row r="282" spans="1:9" ht="13.5" thickBot="1">
      <c r="A282" s="31">
        <v>1915</v>
      </c>
      <c r="B282" s="31"/>
      <c r="C282" s="31"/>
      <c r="D282" s="31"/>
      <c r="E282" s="31"/>
      <c r="F282" s="31"/>
      <c r="G282" s="31"/>
      <c r="H282" s="31"/>
      <c r="I282" s="31"/>
    </row>
    <row r="283" spans="1:9" ht="13.5" thickBot="1">
      <c r="A283" s="31">
        <v>1965</v>
      </c>
      <c r="B283" s="31"/>
      <c r="C283" s="31"/>
      <c r="D283" s="31"/>
      <c r="E283" s="31"/>
      <c r="F283" s="31"/>
      <c r="G283" s="31"/>
      <c r="H283" s="31"/>
      <c r="I283" s="31"/>
    </row>
    <row r="284" spans="1:9" ht="32.25" thickBot="1">
      <c r="A284" s="30" t="s">
        <v>650</v>
      </c>
      <c r="B284" s="30"/>
      <c r="C284" s="30"/>
      <c r="D284" s="30"/>
      <c r="E284" s="30"/>
      <c r="F284" s="30"/>
      <c r="G284" s="30"/>
      <c r="H284" s="30"/>
      <c r="I284" s="30"/>
    </row>
    <row r="285" spans="1:9" ht="13.5" thickBot="1">
      <c r="A285" s="31">
        <v>1933</v>
      </c>
      <c r="B285" s="31"/>
      <c r="C285" s="31"/>
      <c r="D285" s="31"/>
      <c r="E285" s="31"/>
      <c r="F285" s="31"/>
      <c r="G285" s="31"/>
      <c r="H285" s="31"/>
      <c r="I285" s="31"/>
    </row>
    <row r="286" spans="1:9" ht="13.5" thickBot="1">
      <c r="A286" s="31">
        <v>1937</v>
      </c>
      <c r="B286" s="31"/>
      <c r="C286" s="31"/>
      <c r="D286" s="31"/>
      <c r="E286" s="31"/>
      <c r="F286" s="31"/>
      <c r="G286" s="31"/>
      <c r="H286" s="31"/>
      <c r="I286" s="31"/>
    </row>
    <row r="287" spans="1:9" ht="13.5" thickBot="1">
      <c r="A287" s="31">
        <v>1946</v>
      </c>
      <c r="B287" s="31"/>
      <c r="C287" s="31"/>
      <c r="D287" s="31"/>
      <c r="E287" s="31"/>
      <c r="F287" s="31"/>
      <c r="G287" s="31"/>
      <c r="H287" s="31"/>
      <c r="I287" s="31"/>
    </row>
    <row r="288" spans="1:9" ht="13.5" thickBot="1">
      <c r="A288" s="31">
        <v>1915</v>
      </c>
      <c r="B288" s="31"/>
      <c r="C288" s="31"/>
      <c r="D288" s="31"/>
      <c r="E288" s="31"/>
      <c r="F288" s="31"/>
      <c r="G288" s="31"/>
      <c r="H288" s="31"/>
      <c r="I288" s="31"/>
    </row>
    <row r="289" spans="1:9" ht="13.5" thickBot="1">
      <c r="A289" s="31">
        <v>1965</v>
      </c>
      <c r="B289" s="31"/>
      <c r="C289" s="31"/>
      <c r="D289" s="31"/>
      <c r="E289" s="31"/>
      <c r="F289" s="31"/>
      <c r="G289" s="31"/>
      <c r="H289" s="31"/>
      <c r="I289" s="31"/>
    </row>
    <row r="290" spans="1:9" ht="21.75" thickBot="1">
      <c r="A290" s="30" t="s">
        <v>651</v>
      </c>
      <c r="B290" s="30"/>
      <c r="C290" s="30"/>
      <c r="D290" s="30"/>
      <c r="E290" s="30"/>
      <c r="F290" s="30"/>
      <c r="G290" s="30"/>
      <c r="H290" s="30"/>
      <c r="I290" s="30"/>
    </row>
    <row r="291" spans="1:9" ht="13.5" thickBot="1">
      <c r="A291" s="31">
        <v>1933</v>
      </c>
      <c r="B291" s="31"/>
      <c r="C291" s="31"/>
      <c r="D291" s="31"/>
      <c r="E291" s="31"/>
      <c r="F291" s="31"/>
      <c r="G291" s="31"/>
      <c r="H291" s="31"/>
      <c r="I291" s="31"/>
    </row>
    <row r="292" spans="1:9" ht="13.5" thickBot="1">
      <c r="A292" s="31">
        <v>1937</v>
      </c>
      <c r="B292" s="31"/>
      <c r="C292" s="31"/>
      <c r="D292" s="31"/>
      <c r="E292" s="31"/>
      <c r="F292" s="31"/>
      <c r="G292" s="31"/>
      <c r="H292" s="31"/>
      <c r="I292" s="31"/>
    </row>
    <row r="293" spans="1:9" ht="13.5" thickBot="1">
      <c r="A293" s="31">
        <v>1946</v>
      </c>
      <c r="B293" s="31"/>
      <c r="C293" s="31"/>
      <c r="D293" s="31"/>
      <c r="E293" s="31"/>
      <c r="F293" s="31"/>
      <c r="G293" s="31"/>
      <c r="H293" s="31"/>
      <c r="I293" s="31"/>
    </row>
    <row r="294" spans="1:9" ht="13.5" thickBot="1">
      <c r="A294" s="31">
        <v>1915</v>
      </c>
      <c r="B294" s="31"/>
      <c r="C294" s="31"/>
      <c r="D294" s="31"/>
      <c r="E294" s="31"/>
      <c r="F294" s="31"/>
      <c r="G294" s="31"/>
      <c r="H294" s="31"/>
      <c r="I294" s="31"/>
    </row>
    <row r="295" spans="1:9" ht="13.5" thickBot="1">
      <c r="A295" s="31">
        <v>1965</v>
      </c>
      <c r="B295" s="31"/>
      <c r="C295" s="31"/>
      <c r="D295" s="31"/>
      <c r="E295" s="31"/>
      <c r="F295" s="31"/>
      <c r="G295" s="31"/>
      <c r="H295" s="31"/>
      <c r="I295" s="31"/>
    </row>
    <row r="296" spans="1:9" ht="42.75" thickBot="1">
      <c r="A296" s="30" t="s">
        <v>652</v>
      </c>
      <c r="B296" s="30"/>
      <c r="C296" s="30"/>
      <c r="D296" s="30"/>
      <c r="E296" s="30"/>
      <c r="F296" s="30"/>
      <c r="G296" s="30"/>
      <c r="H296" s="30"/>
      <c r="I296" s="30"/>
    </row>
    <row r="297" spans="1:9" ht="13.5" thickBot="1">
      <c r="A297" s="31">
        <v>1933</v>
      </c>
      <c r="B297" s="31"/>
      <c r="C297" s="31"/>
      <c r="D297" s="31"/>
      <c r="E297" s="31"/>
      <c r="F297" s="31"/>
      <c r="G297" s="31"/>
      <c r="H297" s="31"/>
      <c r="I297" s="31"/>
    </row>
    <row r="298" spans="1:9" ht="13.5" thickBot="1">
      <c r="A298" s="31">
        <v>1937</v>
      </c>
      <c r="B298" s="31"/>
      <c r="C298" s="31"/>
      <c r="D298" s="31"/>
      <c r="E298" s="31"/>
      <c r="F298" s="31"/>
      <c r="G298" s="31"/>
      <c r="H298" s="31"/>
      <c r="I298" s="31"/>
    </row>
    <row r="299" spans="1:9" ht="13.5" thickBot="1">
      <c r="A299" s="31">
        <v>1946</v>
      </c>
      <c r="B299" s="31"/>
      <c r="C299" s="31"/>
      <c r="D299" s="31"/>
      <c r="E299" s="31"/>
      <c r="F299" s="31"/>
      <c r="G299" s="31"/>
      <c r="H299" s="31"/>
      <c r="I299" s="31"/>
    </row>
    <row r="300" spans="1:9" ht="13.5" thickBot="1">
      <c r="A300" s="31">
        <v>1915</v>
      </c>
      <c r="B300" s="31"/>
      <c r="C300" s="31"/>
      <c r="D300" s="31"/>
      <c r="E300" s="31"/>
      <c r="F300" s="31"/>
      <c r="G300" s="31"/>
      <c r="H300" s="31"/>
      <c r="I300" s="31"/>
    </row>
    <row r="301" spans="1:9" ht="13.5" thickBot="1">
      <c r="A301" s="31">
        <v>1965</v>
      </c>
      <c r="B301" s="31"/>
      <c r="C301" s="31"/>
      <c r="D301" s="31"/>
      <c r="E301" s="31"/>
      <c r="F301" s="31"/>
      <c r="G301" s="31"/>
      <c r="H301" s="31"/>
      <c r="I301" s="31"/>
    </row>
    <row r="302" spans="1:9" ht="42.75" thickBot="1">
      <c r="A302" s="30" t="s">
        <v>653</v>
      </c>
      <c r="B302" s="30">
        <v>15.5</v>
      </c>
      <c r="C302" s="30">
        <v>8</v>
      </c>
      <c r="D302" s="30">
        <v>23</v>
      </c>
      <c r="E302" s="30">
        <v>23</v>
      </c>
      <c r="F302" s="30">
        <v>13.5</v>
      </c>
      <c r="G302" s="30"/>
      <c r="H302" s="30"/>
      <c r="I302" s="30">
        <v>83</v>
      </c>
    </row>
    <row r="303" spans="1:9" ht="13.5" thickBot="1">
      <c r="A303" s="31">
        <v>1933</v>
      </c>
      <c r="B303" s="31"/>
      <c r="C303" s="31"/>
      <c r="D303" s="31"/>
      <c r="E303" s="31"/>
      <c r="F303" s="31"/>
      <c r="G303" s="31"/>
      <c r="H303" s="31"/>
      <c r="I303" s="31"/>
    </row>
    <row r="304" spans="1:9" ht="13.5" thickBot="1">
      <c r="A304" s="31">
        <v>1937</v>
      </c>
      <c r="B304" s="31">
        <v>15.5</v>
      </c>
      <c r="C304" s="31">
        <v>8</v>
      </c>
      <c r="D304" s="31">
        <v>8</v>
      </c>
      <c r="E304" s="31">
        <v>8</v>
      </c>
      <c r="F304" s="31">
        <v>6</v>
      </c>
      <c r="G304" s="31"/>
      <c r="H304" s="31"/>
      <c r="I304" s="31">
        <v>45.5</v>
      </c>
    </row>
    <row r="305" spans="1:9" ht="13.5" thickBot="1">
      <c r="A305" s="31">
        <v>1946</v>
      </c>
      <c r="B305" s="31"/>
      <c r="C305" s="31"/>
      <c r="D305" s="31"/>
      <c r="E305" s="31"/>
      <c r="F305" s="31"/>
      <c r="G305" s="31"/>
      <c r="H305" s="31"/>
      <c r="I305" s="31"/>
    </row>
    <row r="306" spans="1:9" ht="13.5" thickBot="1">
      <c r="A306" s="31">
        <v>1915</v>
      </c>
      <c r="B306" s="31"/>
      <c r="C306" s="31"/>
      <c r="D306" s="31"/>
      <c r="E306" s="31"/>
      <c r="F306" s="31"/>
      <c r="G306" s="31"/>
      <c r="H306" s="31"/>
      <c r="I306" s="31"/>
    </row>
    <row r="307" spans="1:9" ht="13.5" thickBot="1">
      <c r="A307" s="31">
        <v>1965</v>
      </c>
      <c r="B307" s="31"/>
      <c r="C307" s="31"/>
      <c r="D307" s="31"/>
      <c r="E307" s="31"/>
      <c r="F307" s="31"/>
      <c r="G307" s="31"/>
      <c r="H307" s="31"/>
      <c r="I307" s="31"/>
    </row>
    <row r="308" spans="1:9" ht="21.75" thickBot="1">
      <c r="A308" s="30" t="s">
        <v>654</v>
      </c>
      <c r="B308" s="30"/>
      <c r="C308" s="30"/>
      <c r="D308" s="30"/>
      <c r="E308" s="30"/>
      <c r="F308" s="30"/>
      <c r="G308" s="30"/>
      <c r="H308" s="30"/>
      <c r="I308" s="30"/>
    </row>
    <row r="309" spans="1:9" ht="13.5" thickBot="1">
      <c r="A309" s="31">
        <v>1933</v>
      </c>
      <c r="B309" s="31"/>
      <c r="C309" s="31"/>
      <c r="D309" s="31"/>
      <c r="E309" s="31"/>
      <c r="F309" s="31"/>
      <c r="G309" s="31"/>
      <c r="H309" s="31"/>
      <c r="I309" s="31"/>
    </row>
    <row r="310" spans="1:9" ht="13.5" thickBot="1">
      <c r="A310" s="31">
        <v>1937</v>
      </c>
      <c r="B310" s="31"/>
      <c r="C310" s="31"/>
      <c r="D310" s="31"/>
      <c r="E310" s="31"/>
      <c r="F310" s="31"/>
      <c r="G310" s="31"/>
      <c r="H310" s="31"/>
      <c r="I310" s="31"/>
    </row>
    <row r="311" spans="1:9" ht="13.5" thickBot="1">
      <c r="A311" s="31">
        <v>1946</v>
      </c>
      <c r="B311" s="31"/>
      <c r="C311" s="31"/>
      <c r="D311" s="31"/>
      <c r="E311" s="31"/>
      <c r="F311" s="31"/>
      <c r="G311" s="31"/>
      <c r="H311" s="31"/>
      <c r="I311" s="31"/>
    </row>
    <row r="312" spans="1:9" ht="13.5" thickBot="1">
      <c r="A312" s="31">
        <v>1915</v>
      </c>
      <c r="B312" s="31"/>
      <c r="C312" s="31"/>
      <c r="D312" s="31"/>
      <c r="E312" s="31"/>
      <c r="F312" s="31"/>
      <c r="G312" s="31"/>
      <c r="H312" s="31"/>
      <c r="I312" s="31"/>
    </row>
    <row r="313" spans="1:9" ht="13.5" thickBot="1">
      <c r="A313" s="31">
        <v>1965</v>
      </c>
      <c r="B313" s="31"/>
      <c r="C313" s="31"/>
      <c r="D313" s="31"/>
      <c r="E313" s="31"/>
      <c r="F313" s="31"/>
      <c r="G313" s="31"/>
      <c r="H313" s="31"/>
      <c r="I313" s="31"/>
    </row>
    <row r="314" spans="1:9" ht="21.75" thickBot="1">
      <c r="A314" s="30" t="s">
        <v>655</v>
      </c>
      <c r="B314" s="30"/>
      <c r="C314" s="30"/>
      <c r="D314" s="30">
        <v>9.5</v>
      </c>
      <c r="E314" s="30"/>
      <c r="F314" s="30"/>
      <c r="G314" s="30">
        <v>9.5</v>
      </c>
      <c r="H314" s="30"/>
      <c r="I314" s="30">
        <v>19</v>
      </c>
    </row>
    <row r="315" spans="1:9" ht="13.5" thickBot="1">
      <c r="A315" s="31">
        <v>1933</v>
      </c>
      <c r="B315" s="31"/>
      <c r="C315" s="31"/>
      <c r="D315" s="31"/>
      <c r="E315" s="31"/>
      <c r="F315" s="31"/>
      <c r="G315" s="31"/>
      <c r="H315" s="31"/>
      <c r="I315" s="31"/>
    </row>
    <row r="316" spans="1:9" ht="13.5" thickBot="1">
      <c r="A316" s="31">
        <v>1937</v>
      </c>
      <c r="B316" s="31"/>
      <c r="C316" s="31"/>
      <c r="D316" s="31">
        <v>9.5</v>
      </c>
      <c r="E316" s="31"/>
      <c r="F316" s="31"/>
      <c r="G316" s="31">
        <v>9.5</v>
      </c>
      <c r="H316" s="31"/>
      <c r="I316" s="31">
        <v>19</v>
      </c>
    </row>
    <row r="317" spans="1:9" ht="13.5" thickBot="1">
      <c r="A317" s="31">
        <v>1946</v>
      </c>
      <c r="B317" s="31"/>
      <c r="C317" s="31"/>
      <c r="D317" s="31"/>
      <c r="E317" s="31"/>
      <c r="F317" s="31"/>
      <c r="G317" s="31"/>
      <c r="H317" s="31"/>
      <c r="I317" s="31"/>
    </row>
    <row r="318" spans="1:9" ht="13.5" thickBot="1">
      <c r="A318" s="31">
        <v>1915</v>
      </c>
      <c r="B318" s="31"/>
      <c r="C318" s="31"/>
      <c r="D318" s="31"/>
      <c r="E318" s="31"/>
      <c r="F318" s="31"/>
      <c r="G318" s="31"/>
      <c r="H318" s="31"/>
      <c r="I318" s="31"/>
    </row>
    <row r="319" spans="1:9" ht="13.5" thickBot="1">
      <c r="A319" s="31">
        <v>1965</v>
      </c>
      <c r="B319" s="31"/>
      <c r="C319" s="31"/>
      <c r="D319" s="31"/>
      <c r="E319" s="31"/>
      <c r="F319" s="31"/>
      <c r="G319" s="31"/>
      <c r="H319" s="31"/>
      <c r="I319" s="31"/>
    </row>
    <row r="320" spans="1:9" ht="32.25" thickBot="1">
      <c r="A320" s="30" t="s">
        <v>656</v>
      </c>
      <c r="B320" s="30"/>
      <c r="C320" s="30"/>
      <c r="D320" s="30"/>
      <c r="E320" s="30"/>
      <c r="F320" s="30"/>
      <c r="G320" s="30"/>
      <c r="H320" s="30"/>
      <c r="I320" s="30"/>
    </row>
    <row r="321" spans="1:9" ht="13.5" thickBot="1">
      <c r="A321" s="31">
        <v>1933</v>
      </c>
      <c r="B321" s="31"/>
      <c r="C321" s="31"/>
      <c r="D321" s="31"/>
      <c r="E321" s="31"/>
      <c r="F321" s="31"/>
      <c r="G321" s="31"/>
      <c r="H321" s="31"/>
      <c r="I321" s="31"/>
    </row>
    <row r="322" spans="1:9" ht="13.5" thickBot="1">
      <c r="A322" s="31">
        <v>1937</v>
      </c>
      <c r="B322" s="31"/>
      <c r="C322" s="31"/>
      <c r="D322" s="31"/>
      <c r="E322" s="31"/>
      <c r="F322" s="31"/>
      <c r="G322" s="31"/>
      <c r="H322" s="31"/>
      <c r="I322" s="31"/>
    </row>
    <row r="323" spans="1:9" ht="13.5" thickBot="1">
      <c r="A323" s="31">
        <v>1946</v>
      </c>
      <c r="B323" s="31"/>
      <c r="C323" s="31"/>
      <c r="D323" s="31"/>
      <c r="E323" s="31"/>
      <c r="F323" s="31"/>
      <c r="G323" s="31"/>
      <c r="H323" s="31"/>
      <c r="I323" s="31"/>
    </row>
    <row r="324" spans="1:9" ht="13.5" thickBot="1">
      <c r="A324" s="31">
        <v>1915</v>
      </c>
      <c r="B324" s="31"/>
      <c r="C324" s="31"/>
      <c r="D324" s="31"/>
      <c r="E324" s="31"/>
      <c r="F324" s="31"/>
      <c r="G324" s="31"/>
      <c r="H324" s="31"/>
      <c r="I324" s="31"/>
    </row>
    <row r="325" spans="1:9" ht="13.5" thickBot="1">
      <c r="A325" s="31">
        <v>1965</v>
      </c>
      <c r="B325" s="31"/>
      <c r="C325" s="31"/>
      <c r="D325" s="31"/>
      <c r="E325" s="31"/>
      <c r="F325" s="31"/>
      <c r="G325" s="31"/>
      <c r="H325" s="31"/>
      <c r="I325" s="31"/>
    </row>
    <row r="326" spans="1:9" ht="21.75" thickBot="1">
      <c r="A326" s="30" t="s">
        <v>657</v>
      </c>
      <c r="B326" s="30"/>
      <c r="C326" s="30"/>
      <c r="D326" s="30">
        <v>28.5</v>
      </c>
      <c r="E326" s="30"/>
      <c r="F326" s="30"/>
      <c r="G326" s="30">
        <v>27.5</v>
      </c>
      <c r="H326" s="30"/>
      <c r="I326" s="30">
        <v>56</v>
      </c>
    </row>
    <row r="327" spans="1:9" ht="13.5" thickBot="1">
      <c r="A327" s="31">
        <v>1933</v>
      </c>
      <c r="B327" s="31"/>
      <c r="C327" s="31"/>
      <c r="D327" s="31">
        <v>19</v>
      </c>
      <c r="E327" s="31"/>
      <c r="F327" s="31"/>
      <c r="G327" s="31">
        <v>17.5</v>
      </c>
      <c r="H327" s="31"/>
      <c r="I327" s="31">
        <v>36.5</v>
      </c>
    </row>
    <row r="328" spans="1:9" ht="13.5" thickBot="1">
      <c r="A328" s="31">
        <v>1937</v>
      </c>
      <c r="B328" s="31"/>
      <c r="C328" s="31"/>
      <c r="D328" s="31"/>
      <c r="E328" s="31"/>
      <c r="F328" s="31"/>
      <c r="G328" s="31"/>
      <c r="H328" s="31"/>
      <c r="I328" s="31"/>
    </row>
    <row r="329" spans="1:9" ht="13.5" thickBot="1">
      <c r="A329" s="31">
        <v>1946</v>
      </c>
      <c r="B329" s="31"/>
      <c r="C329" s="31"/>
      <c r="D329" s="31">
        <v>9.5</v>
      </c>
      <c r="E329" s="31"/>
      <c r="F329" s="31"/>
      <c r="G329" s="31">
        <v>10</v>
      </c>
      <c r="H329" s="31"/>
      <c r="I329" s="31">
        <v>19.5</v>
      </c>
    </row>
    <row r="330" spans="1:9" ht="13.5" thickBot="1">
      <c r="A330" s="31">
        <v>1915</v>
      </c>
      <c r="B330" s="31"/>
      <c r="C330" s="31"/>
      <c r="D330" s="31"/>
      <c r="E330" s="31"/>
      <c r="F330" s="31"/>
      <c r="G330" s="31"/>
      <c r="H330" s="31"/>
      <c r="I330" s="31"/>
    </row>
    <row r="331" spans="1:9" ht="13.5" thickBot="1">
      <c r="A331" s="31">
        <v>1965</v>
      </c>
      <c r="B331" s="31"/>
      <c r="C331" s="31"/>
      <c r="D331" s="31"/>
      <c r="E331" s="31"/>
      <c r="F331" s="31"/>
      <c r="G331" s="31"/>
      <c r="H331" s="31"/>
      <c r="I331" s="31"/>
    </row>
    <row r="332" spans="1:9" ht="53.25" thickBot="1">
      <c r="A332" s="30" t="s">
        <v>658</v>
      </c>
      <c r="B332" s="30"/>
      <c r="C332" s="30"/>
      <c r="D332" s="30"/>
      <c r="E332" s="30"/>
      <c r="F332" s="30"/>
      <c r="G332" s="30"/>
      <c r="H332" s="30"/>
      <c r="I332" s="30"/>
    </row>
    <row r="333" spans="1:9" ht="13.5" thickBot="1">
      <c r="A333" s="31">
        <v>1933</v>
      </c>
      <c r="B333" s="31"/>
      <c r="C333" s="31"/>
      <c r="D333" s="31"/>
      <c r="E333" s="31"/>
      <c r="F333" s="31"/>
      <c r="G333" s="31"/>
      <c r="H333" s="31"/>
      <c r="I333" s="31"/>
    </row>
    <row r="334" spans="1:9" ht="13.5" thickBot="1">
      <c r="A334" s="31">
        <v>1937</v>
      </c>
      <c r="B334" s="31"/>
      <c r="C334" s="31"/>
      <c r="D334" s="31"/>
      <c r="E334" s="31"/>
      <c r="F334" s="31"/>
      <c r="G334" s="31"/>
      <c r="H334" s="31"/>
      <c r="I334" s="31"/>
    </row>
    <row r="335" spans="1:9" ht="13.5" thickBot="1">
      <c r="A335" s="31">
        <v>1946</v>
      </c>
      <c r="B335" s="31"/>
      <c r="C335" s="31"/>
      <c r="D335" s="31"/>
      <c r="E335" s="31"/>
      <c r="F335" s="31"/>
      <c r="G335" s="31"/>
      <c r="H335" s="31"/>
      <c r="I335" s="31"/>
    </row>
    <row r="336" spans="1:9" ht="13.5" thickBot="1">
      <c r="A336" s="31">
        <v>1915</v>
      </c>
      <c r="B336" s="31"/>
      <c r="C336" s="31"/>
      <c r="D336" s="31"/>
      <c r="E336" s="31"/>
      <c r="F336" s="31"/>
      <c r="G336" s="31"/>
      <c r="H336" s="31"/>
      <c r="I336" s="31"/>
    </row>
    <row r="337" spans="1:9" ht="13.5" thickBot="1">
      <c r="A337" s="31">
        <v>1965</v>
      </c>
      <c r="B337" s="31"/>
      <c r="C337" s="31"/>
      <c r="D337" s="31"/>
      <c r="E337" s="31"/>
      <c r="F337" s="31"/>
      <c r="G337" s="31"/>
      <c r="H337" s="31"/>
      <c r="I337" s="31"/>
    </row>
    <row r="338" spans="1:9" ht="21.75" thickBot="1">
      <c r="A338" s="30" t="s">
        <v>659</v>
      </c>
      <c r="B338" s="30"/>
      <c r="C338" s="30"/>
      <c r="D338" s="30"/>
      <c r="E338" s="30"/>
      <c r="F338" s="30"/>
      <c r="G338" s="30"/>
      <c r="H338" s="30"/>
      <c r="I338" s="30"/>
    </row>
    <row r="339" spans="1:9" ht="13.5" thickBot="1">
      <c r="A339" s="31">
        <v>1933</v>
      </c>
      <c r="B339" s="31"/>
      <c r="C339" s="31"/>
      <c r="D339" s="31"/>
      <c r="E339" s="31"/>
      <c r="F339" s="31"/>
      <c r="G339" s="31"/>
      <c r="H339" s="31"/>
      <c r="I339" s="31"/>
    </row>
    <row r="340" spans="1:9" ht="13.5" thickBot="1">
      <c r="A340" s="31">
        <v>1937</v>
      </c>
      <c r="B340" s="31"/>
      <c r="C340" s="31"/>
      <c r="D340" s="31"/>
      <c r="E340" s="31"/>
      <c r="F340" s="31"/>
      <c r="G340" s="31"/>
      <c r="H340" s="31"/>
      <c r="I340" s="31"/>
    </row>
    <row r="341" spans="1:9" ht="13.5" thickBot="1">
      <c r="A341" s="31">
        <v>1946</v>
      </c>
      <c r="B341" s="31"/>
      <c r="C341" s="31"/>
      <c r="D341" s="31"/>
      <c r="E341" s="31"/>
      <c r="F341" s="31"/>
      <c r="G341" s="31"/>
      <c r="H341" s="31"/>
      <c r="I341" s="31"/>
    </row>
    <row r="342" spans="1:9" ht="13.5" thickBot="1">
      <c r="A342" s="31">
        <v>1915</v>
      </c>
      <c r="B342" s="31"/>
      <c r="C342" s="31"/>
      <c r="D342" s="31"/>
      <c r="E342" s="31"/>
      <c r="F342" s="31"/>
      <c r="G342" s="31"/>
      <c r="H342" s="31"/>
      <c r="I342" s="31"/>
    </row>
    <row r="343" spans="1:9" ht="13.5" thickBot="1">
      <c r="A343" s="31">
        <v>1965</v>
      </c>
      <c r="B343" s="31"/>
      <c r="C343" s="31"/>
      <c r="D343" s="31"/>
      <c r="E343" s="31"/>
      <c r="F343" s="31"/>
      <c r="G343" s="31"/>
      <c r="H343" s="31"/>
      <c r="I343" s="31"/>
    </row>
    <row r="344" spans="1:9" ht="21.75" thickBot="1">
      <c r="A344" s="30" t="s">
        <v>660</v>
      </c>
      <c r="B344" s="30"/>
      <c r="C344" s="30"/>
      <c r="D344" s="30"/>
      <c r="E344" s="30"/>
      <c r="F344" s="30"/>
      <c r="G344" s="30"/>
      <c r="H344" s="30"/>
      <c r="I344" s="30"/>
    </row>
    <row r="345" spans="1:9" ht="13.5" thickBot="1">
      <c r="A345" s="31">
        <v>1933</v>
      </c>
      <c r="B345" s="31"/>
      <c r="C345" s="31"/>
      <c r="D345" s="31"/>
      <c r="E345" s="31"/>
      <c r="F345" s="31"/>
      <c r="G345" s="31"/>
      <c r="H345" s="31"/>
      <c r="I345" s="31"/>
    </row>
    <row r="346" spans="1:9" ht="13.5" thickBot="1">
      <c r="A346" s="31">
        <v>1937</v>
      </c>
      <c r="B346" s="31"/>
      <c r="C346" s="31"/>
      <c r="D346" s="31"/>
      <c r="E346" s="31"/>
      <c r="F346" s="31"/>
      <c r="G346" s="31"/>
      <c r="H346" s="31"/>
      <c r="I346" s="31"/>
    </row>
    <row r="347" spans="1:9" ht="13.5" thickBot="1">
      <c r="A347" s="31">
        <v>1946</v>
      </c>
      <c r="B347" s="31"/>
      <c r="C347" s="31"/>
      <c r="D347" s="31"/>
      <c r="E347" s="31"/>
      <c r="F347" s="31"/>
      <c r="G347" s="31"/>
      <c r="H347" s="31"/>
      <c r="I347" s="31"/>
    </row>
    <row r="348" spans="1:9" ht="13.5" thickBot="1">
      <c r="A348" s="31">
        <v>1915</v>
      </c>
      <c r="B348" s="31"/>
      <c r="C348" s="31"/>
      <c r="D348" s="31"/>
      <c r="E348" s="31"/>
      <c r="F348" s="31"/>
      <c r="G348" s="31"/>
      <c r="H348" s="31"/>
      <c r="I348" s="31"/>
    </row>
    <row r="349" spans="1:9" ht="13.5" thickBot="1">
      <c r="A349" s="31">
        <v>1965</v>
      </c>
      <c r="B349" s="31"/>
      <c r="C349" s="31"/>
      <c r="D349" s="31"/>
      <c r="E349" s="31"/>
      <c r="F349" s="31"/>
      <c r="G349" s="31"/>
      <c r="H349" s="31"/>
      <c r="I349" s="31"/>
    </row>
    <row r="350" spans="1:9" ht="32.25" thickBot="1">
      <c r="A350" s="30" t="s">
        <v>661</v>
      </c>
      <c r="B350" s="30"/>
      <c r="C350" s="30"/>
      <c r="D350" s="30"/>
      <c r="E350" s="30"/>
      <c r="F350" s="30"/>
      <c r="G350" s="30"/>
      <c r="H350" s="30"/>
      <c r="I350" s="30"/>
    </row>
    <row r="351" spans="1:9" ht="13.5" thickBot="1">
      <c r="A351" s="31">
        <v>1933</v>
      </c>
      <c r="B351" s="31"/>
      <c r="C351" s="31"/>
      <c r="D351" s="31"/>
      <c r="E351" s="31"/>
      <c r="F351" s="31"/>
      <c r="G351" s="31"/>
      <c r="H351" s="31"/>
      <c r="I351" s="31"/>
    </row>
    <row r="352" spans="1:9" ht="13.5" thickBot="1">
      <c r="A352" s="31">
        <v>1937</v>
      </c>
      <c r="B352" s="31"/>
      <c r="C352" s="31"/>
      <c r="D352" s="31"/>
      <c r="E352" s="31"/>
      <c r="F352" s="31"/>
      <c r="G352" s="31"/>
      <c r="H352" s="31"/>
      <c r="I352" s="31"/>
    </row>
    <row r="353" spans="1:9" ht="13.5" thickBot="1">
      <c r="A353" s="31">
        <v>1946</v>
      </c>
      <c r="B353" s="31"/>
      <c r="C353" s="31"/>
      <c r="D353" s="31"/>
      <c r="E353" s="31"/>
      <c r="F353" s="31"/>
      <c r="G353" s="31"/>
      <c r="H353" s="31"/>
      <c r="I353" s="31"/>
    </row>
    <row r="354" spans="1:9" ht="13.5" thickBot="1">
      <c r="A354" s="31">
        <v>1915</v>
      </c>
      <c r="B354" s="31"/>
      <c r="C354" s="31"/>
      <c r="D354" s="31"/>
      <c r="E354" s="31"/>
      <c r="F354" s="31"/>
      <c r="G354" s="31"/>
      <c r="H354" s="31"/>
      <c r="I354" s="31"/>
    </row>
    <row r="355" spans="1:9" ht="13.5" thickBot="1">
      <c r="A355" s="31">
        <v>1965</v>
      </c>
      <c r="B355" s="31"/>
      <c r="C355" s="31"/>
      <c r="D355" s="31"/>
      <c r="E355" s="31"/>
      <c r="F355" s="31"/>
      <c r="G355" s="31"/>
      <c r="H355" s="31"/>
      <c r="I355" s="31"/>
    </row>
    <row r="356" spans="1:9" ht="32.25" thickBot="1">
      <c r="A356" s="30" t="s">
        <v>662</v>
      </c>
      <c r="B356" s="30"/>
      <c r="C356" s="30"/>
      <c r="D356" s="30"/>
      <c r="E356" s="30"/>
      <c r="F356" s="30"/>
      <c r="G356" s="30"/>
      <c r="H356" s="30"/>
      <c r="I356" s="30"/>
    </row>
    <row r="357" spans="1:9" ht="13.5" thickBot="1">
      <c r="A357" s="31">
        <v>1933</v>
      </c>
      <c r="B357" s="31"/>
      <c r="C357" s="31"/>
      <c r="D357" s="31"/>
      <c r="E357" s="31"/>
      <c r="F357" s="31"/>
      <c r="G357" s="31"/>
      <c r="H357" s="31"/>
      <c r="I357" s="31"/>
    </row>
    <row r="358" spans="1:9" ht="13.5" thickBot="1">
      <c r="A358" s="31">
        <v>1937</v>
      </c>
      <c r="B358" s="31"/>
      <c r="C358" s="31"/>
      <c r="D358" s="31"/>
      <c r="E358" s="31"/>
      <c r="F358" s="31"/>
      <c r="G358" s="31"/>
      <c r="H358" s="31"/>
      <c r="I358" s="31"/>
    </row>
    <row r="359" spans="1:9" ht="13.5" thickBot="1">
      <c r="A359" s="31">
        <v>1946</v>
      </c>
      <c r="B359" s="31"/>
      <c r="C359" s="31"/>
      <c r="D359" s="31"/>
      <c r="E359" s="31"/>
      <c r="F359" s="31"/>
      <c r="G359" s="31"/>
      <c r="H359" s="31"/>
      <c r="I359" s="31"/>
    </row>
    <row r="360" spans="1:9" ht="13.5" thickBot="1">
      <c r="A360" s="31">
        <v>1915</v>
      </c>
      <c r="B360" s="31"/>
      <c r="C360" s="31"/>
      <c r="D360" s="31"/>
      <c r="E360" s="31"/>
      <c r="F360" s="31"/>
      <c r="G360" s="31"/>
      <c r="H360" s="31"/>
      <c r="I360" s="31"/>
    </row>
    <row r="361" spans="1:9" ht="13.5" thickBot="1">
      <c r="A361" s="31">
        <v>1965</v>
      </c>
      <c r="B361" s="31"/>
      <c r="C361" s="31"/>
      <c r="D361" s="31"/>
      <c r="E361" s="31"/>
      <c r="F361" s="31"/>
      <c r="G361" s="31"/>
      <c r="H361" s="31"/>
      <c r="I361" s="31"/>
    </row>
    <row r="362" spans="1:9" ht="32.25" thickBot="1">
      <c r="A362" s="30" t="s">
        <v>663</v>
      </c>
      <c r="B362" s="30">
        <v>10.3</v>
      </c>
      <c r="C362" s="30">
        <v>12.73</v>
      </c>
      <c r="D362" s="30">
        <v>0.88</v>
      </c>
      <c r="E362" s="30">
        <v>6.75</v>
      </c>
      <c r="F362" s="30"/>
      <c r="G362" s="30"/>
      <c r="H362" s="30"/>
      <c r="I362" s="30">
        <v>30.67</v>
      </c>
    </row>
    <row r="363" spans="1:9" ht="13.5" thickBot="1">
      <c r="A363" s="31">
        <v>1933</v>
      </c>
      <c r="B363" s="31">
        <v>8.68</v>
      </c>
      <c r="C363" s="31">
        <v>9.68</v>
      </c>
      <c r="D363" s="31"/>
      <c r="E363" s="31">
        <v>4.18</v>
      </c>
      <c r="F363" s="31"/>
      <c r="G363" s="31"/>
      <c r="H363" s="31"/>
      <c r="I363" s="31">
        <v>22.55</v>
      </c>
    </row>
    <row r="364" spans="1:9" ht="13.5" thickBot="1">
      <c r="A364" s="31">
        <v>1937</v>
      </c>
      <c r="B364" s="31"/>
      <c r="C364" s="31"/>
      <c r="D364" s="31"/>
      <c r="E364" s="31">
        <v>1.52</v>
      </c>
      <c r="F364" s="31"/>
      <c r="G364" s="31"/>
      <c r="H364" s="31"/>
      <c r="I364" s="31">
        <v>1.52</v>
      </c>
    </row>
    <row r="365" spans="1:9" ht="13.5" thickBot="1">
      <c r="A365" s="31">
        <v>1946</v>
      </c>
      <c r="B365" s="31">
        <v>1.62</v>
      </c>
      <c r="C365" s="31">
        <v>1</v>
      </c>
      <c r="D365" s="31"/>
      <c r="E365" s="31"/>
      <c r="F365" s="31"/>
      <c r="G365" s="31"/>
      <c r="H365" s="31"/>
      <c r="I365" s="31">
        <v>2.62</v>
      </c>
    </row>
    <row r="366" spans="1:9" ht="13.5" thickBot="1">
      <c r="A366" s="31">
        <v>1915</v>
      </c>
      <c r="B366" s="31"/>
      <c r="C366" s="31"/>
      <c r="D366" s="31"/>
      <c r="E366" s="31"/>
      <c r="F366" s="31"/>
      <c r="G366" s="31"/>
      <c r="H366" s="31"/>
      <c r="I366" s="31"/>
    </row>
    <row r="367" spans="1:9" ht="13.5" thickBot="1">
      <c r="A367" s="31">
        <v>1965</v>
      </c>
      <c r="B367" s="31"/>
      <c r="C367" s="31"/>
      <c r="D367" s="31"/>
      <c r="E367" s="31"/>
      <c r="F367" s="31"/>
      <c r="G367" s="31"/>
      <c r="H367" s="31"/>
      <c r="I367" s="31"/>
    </row>
    <row r="368" spans="1:9" ht="21.75" thickBot="1">
      <c r="A368" s="30" t="s">
        <v>664</v>
      </c>
      <c r="B368" s="30"/>
      <c r="C368" s="30"/>
      <c r="D368" s="30"/>
      <c r="E368" s="30"/>
      <c r="F368" s="30"/>
      <c r="G368" s="30">
        <v>15</v>
      </c>
      <c r="H368" s="30"/>
      <c r="I368" s="30">
        <v>15</v>
      </c>
    </row>
    <row r="369" spans="1:9" ht="13.5" thickBot="1">
      <c r="A369" s="31">
        <v>1933</v>
      </c>
      <c r="B369" s="31"/>
      <c r="C369" s="31"/>
      <c r="D369" s="31"/>
      <c r="E369" s="31"/>
      <c r="F369" s="31"/>
      <c r="G369" s="31"/>
      <c r="H369" s="31"/>
      <c r="I369" s="31"/>
    </row>
    <row r="370" spans="1:9" ht="13.5" thickBot="1">
      <c r="A370" s="31">
        <v>1937</v>
      </c>
      <c r="B370" s="31"/>
      <c r="C370" s="31"/>
      <c r="D370" s="31"/>
      <c r="E370" s="31"/>
      <c r="F370" s="31"/>
      <c r="G370" s="31"/>
      <c r="H370" s="31"/>
      <c r="I370" s="31"/>
    </row>
    <row r="371" spans="1:9" ht="13.5" thickBot="1">
      <c r="A371" s="31">
        <v>1946</v>
      </c>
      <c r="B371" s="31"/>
      <c r="C371" s="31"/>
      <c r="D371" s="31"/>
      <c r="E371" s="31"/>
      <c r="F371" s="31"/>
      <c r="G371" s="31"/>
      <c r="H371" s="31"/>
      <c r="I371" s="31"/>
    </row>
    <row r="372" spans="1:9" ht="13.5" thickBot="1">
      <c r="A372" s="31">
        <v>1915</v>
      </c>
      <c r="B372" s="31"/>
      <c r="C372" s="31"/>
      <c r="D372" s="31"/>
      <c r="E372" s="31"/>
      <c r="F372" s="31"/>
      <c r="G372" s="31"/>
      <c r="H372" s="31"/>
      <c r="I372" s="31"/>
    </row>
    <row r="373" spans="1:9" ht="13.5" thickBot="1">
      <c r="A373" s="31">
        <v>1965</v>
      </c>
      <c r="B373" s="31"/>
      <c r="C373" s="31"/>
      <c r="D373" s="31"/>
      <c r="E373" s="31"/>
      <c r="F373" s="31"/>
      <c r="G373" s="31"/>
      <c r="H373" s="31"/>
      <c r="I373" s="31"/>
    </row>
    <row r="374" spans="1:9" ht="21.75" thickBot="1">
      <c r="A374" s="30" t="s">
        <v>665</v>
      </c>
      <c r="B374" s="30"/>
      <c r="C374" s="30"/>
      <c r="D374" s="30"/>
      <c r="E374" s="30"/>
      <c r="F374" s="30"/>
      <c r="G374" s="30"/>
      <c r="H374" s="30"/>
      <c r="I374" s="30"/>
    </row>
    <row r="375" spans="1:9" ht="13.5" thickBot="1">
      <c r="A375" s="31">
        <v>1933</v>
      </c>
      <c r="B375" s="31"/>
      <c r="C375" s="31"/>
      <c r="D375" s="31"/>
      <c r="E375" s="31"/>
      <c r="F375" s="31"/>
      <c r="G375" s="31"/>
      <c r="H375" s="31"/>
      <c r="I375" s="31"/>
    </row>
    <row r="376" spans="1:9" ht="13.5" thickBot="1">
      <c r="A376" s="31">
        <v>1937</v>
      </c>
      <c r="B376" s="31"/>
      <c r="C376" s="31"/>
      <c r="D376" s="31"/>
      <c r="E376" s="31"/>
      <c r="F376" s="31"/>
      <c r="G376" s="31"/>
      <c r="H376" s="31"/>
      <c r="I376" s="31"/>
    </row>
    <row r="377" spans="1:9" ht="13.5" thickBot="1">
      <c r="A377" s="31">
        <v>1946</v>
      </c>
      <c r="B377" s="31"/>
      <c r="C377" s="31"/>
      <c r="D377" s="31"/>
      <c r="E377" s="31"/>
      <c r="F377" s="31"/>
      <c r="G377" s="31"/>
      <c r="H377" s="31"/>
      <c r="I377" s="31"/>
    </row>
    <row r="378" spans="1:9" ht="13.5" thickBot="1">
      <c r="A378" s="31">
        <v>1915</v>
      </c>
      <c r="B378" s="31"/>
      <c r="C378" s="31"/>
      <c r="D378" s="31"/>
      <c r="E378" s="31"/>
      <c r="F378" s="31"/>
      <c r="G378" s="31"/>
      <c r="H378" s="31"/>
      <c r="I378" s="31"/>
    </row>
    <row r="379" spans="1:9" ht="13.5" thickBot="1">
      <c r="A379" s="31">
        <v>1965</v>
      </c>
      <c r="B379" s="31"/>
      <c r="C379" s="31"/>
      <c r="D379" s="31"/>
      <c r="E379" s="31"/>
      <c r="F379" s="31"/>
      <c r="G379" s="31"/>
      <c r="H379" s="31"/>
      <c r="I379" s="31"/>
    </row>
    <row r="380" spans="1:9" ht="21.75" thickBot="1">
      <c r="A380" s="30" t="s">
        <v>53</v>
      </c>
      <c r="B380" s="30"/>
      <c r="C380" s="30"/>
      <c r="D380" s="30"/>
      <c r="E380" s="30"/>
      <c r="F380" s="30"/>
      <c r="G380" s="30"/>
      <c r="H380" s="30"/>
      <c r="I380" s="30"/>
    </row>
    <row r="381" spans="1:9" ht="13.5" thickBot="1">
      <c r="A381" s="31">
        <v>1933</v>
      </c>
      <c r="B381" s="31"/>
      <c r="C381" s="31"/>
      <c r="D381" s="31"/>
      <c r="E381" s="31"/>
      <c r="F381" s="31"/>
      <c r="G381" s="31"/>
      <c r="H381" s="31"/>
      <c r="I381" s="31"/>
    </row>
    <row r="382" spans="1:9" ht="13.5" thickBot="1">
      <c r="A382" s="31">
        <v>1937</v>
      </c>
      <c r="B382" s="31"/>
      <c r="C382" s="31"/>
      <c r="D382" s="31"/>
      <c r="E382" s="31"/>
      <c r="F382" s="31"/>
      <c r="G382" s="31"/>
      <c r="H382" s="31"/>
      <c r="I382" s="31"/>
    </row>
    <row r="383" spans="1:9" ht="13.5" thickBot="1">
      <c r="A383" s="31">
        <v>1946</v>
      </c>
      <c r="B383" s="31"/>
      <c r="C383" s="31"/>
      <c r="D383" s="31"/>
      <c r="E383" s="31"/>
      <c r="F383" s="31"/>
      <c r="G383" s="31"/>
      <c r="H383" s="31"/>
      <c r="I383" s="31"/>
    </row>
    <row r="384" spans="1:9" ht="13.5" thickBot="1">
      <c r="A384" s="31">
        <v>1915</v>
      </c>
      <c r="B384" s="31"/>
      <c r="C384" s="31"/>
      <c r="D384" s="31"/>
      <c r="E384" s="31"/>
      <c r="F384" s="31"/>
      <c r="G384" s="31"/>
      <c r="H384" s="31"/>
      <c r="I384" s="31"/>
    </row>
    <row r="385" spans="1:9" ht="13.5" thickBot="1">
      <c r="A385" s="31">
        <v>1965</v>
      </c>
      <c r="B385" s="31"/>
      <c r="C385" s="31"/>
      <c r="D385" s="31"/>
      <c r="E385" s="31"/>
      <c r="F385" s="31"/>
      <c r="G385" s="31"/>
      <c r="H385" s="31"/>
      <c r="I385" s="31"/>
    </row>
    <row r="386" spans="1:9" ht="42.75" thickBot="1">
      <c r="A386" s="30" t="s">
        <v>743</v>
      </c>
      <c r="B386" s="30"/>
      <c r="C386" s="30"/>
      <c r="D386" s="30"/>
      <c r="E386" s="30"/>
      <c r="F386" s="30"/>
      <c r="G386" s="30"/>
      <c r="H386" s="30"/>
      <c r="I386" s="30"/>
    </row>
    <row r="387" spans="1:9" ht="13.5" thickBot="1">
      <c r="A387" s="31">
        <v>1933</v>
      </c>
      <c r="B387" s="31"/>
      <c r="C387" s="31"/>
      <c r="D387" s="31"/>
      <c r="E387" s="31"/>
      <c r="F387" s="31"/>
      <c r="G387" s="31"/>
      <c r="H387" s="31"/>
      <c r="I387" s="31"/>
    </row>
    <row r="388" spans="1:9" ht="13.5" thickBot="1">
      <c r="A388" s="31">
        <v>1937</v>
      </c>
      <c r="B388" s="31"/>
      <c r="C388" s="31"/>
      <c r="D388" s="31"/>
      <c r="E388" s="31"/>
      <c r="F388" s="31"/>
      <c r="G388" s="31"/>
      <c r="H388" s="31"/>
      <c r="I388" s="31"/>
    </row>
    <row r="389" spans="1:9" ht="13.5" thickBot="1">
      <c r="A389" s="31">
        <v>1946</v>
      </c>
      <c r="B389" s="31"/>
      <c r="C389" s="31"/>
      <c r="D389" s="31"/>
      <c r="E389" s="31"/>
      <c r="F389" s="31"/>
      <c r="G389" s="31"/>
      <c r="H389" s="31"/>
      <c r="I389" s="31"/>
    </row>
    <row r="390" spans="1:9" ht="13.5" thickBot="1">
      <c r="A390" s="31">
        <v>1915</v>
      </c>
      <c r="B390" s="31"/>
      <c r="C390" s="31"/>
      <c r="D390" s="31"/>
      <c r="E390" s="31"/>
      <c r="F390" s="31"/>
      <c r="G390" s="31"/>
      <c r="H390" s="31"/>
      <c r="I390" s="31"/>
    </row>
    <row r="391" spans="1:9" ht="13.5" thickBot="1">
      <c r="A391" s="31">
        <v>1965</v>
      </c>
      <c r="B391" s="31"/>
      <c r="C391" s="31"/>
      <c r="D391" s="31"/>
      <c r="E391" s="31"/>
      <c r="F391" s="31"/>
      <c r="G391" s="31"/>
      <c r="H391" s="31"/>
      <c r="I391" s="31"/>
    </row>
    <row r="392" spans="1:9" ht="21.75" thickBot="1">
      <c r="A392" s="30" t="s">
        <v>666</v>
      </c>
      <c r="B392" s="30"/>
      <c r="C392" s="30"/>
      <c r="D392" s="30"/>
      <c r="E392" s="30"/>
      <c r="F392" s="30"/>
      <c r="G392" s="30"/>
      <c r="H392" s="30"/>
      <c r="I392" s="30"/>
    </row>
    <row r="393" spans="1:9" ht="13.5" thickBot="1">
      <c r="A393" s="31">
        <v>1933</v>
      </c>
      <c r="B393" s="31"/>
      <c r="C393" s="31"/>
      <c r="D393" s="31"/>
      <c r="E393" s="31"/>
      <c r="F393" s="31"/>
      <c r="G393" s="31"/>
      <c r="H393" s="31"/>
      <c r="I393" s="31"/>
    </row>
    <row r="394" spans="1:9" ht="13.5" thickBot="1">
      <c r="A394" s="31">
        <v>1937</v>
      </c>
      <c r="B394" s="31"/>
      <c r="C394" s="31"/>
      <c r="D394" s="31"/>
      <c r="E394" s="31"/>
      <c r="F394" s="31"/>
      <c r="G394" s="31"/>
      <c r="H394" s="31"/>
      <c r="I394" s="31"/>
    </row>
    <row r="395" spans="1:9" ht="13.5" thickBot="1">
      <c r="A395" s="31">
        <v>1946</v>
      </c>
      <c r="B395" s="31"/>
      <c r="C395" s="31"/>
      <c r="D395" s="31"/>
      <c r="E395" s="31"/>
      <c r="F395" s="31"/>
      <c r="G395" s="31"/>
      <c r="H395" s="31"/>
      <c r="I395" s="31"/>
    </row>
    <row r="396" spans="1:9" ht="13.5" thickBot="1">
      <c r="A396" s="31">
        <v>1915</v>
      </c>
      <c r="B396" s="31"/>
      <c r="C396" s="31"/>
      <c r="D396" s="31"/>
      <c r="E396" s="31"/>
      <c r="F396" s="31"/>
      <c r="G396" s="31"/>
      <c r="H396" s="31"/>
      <c r="I396" s="31"/>
    </row>
    <row r="397" spans="1:9" ht="13.5" thickBot="1">
      <c r="A397" s="31">
        <v>1965</v>
      </c>
      <c r="B397" s="31"/>
      <c r="C397" s="31"/>
      <c r="D397" s="31"/>
      <c r="E397" s="31"/>
      <c r="F397" s="31"/>
      <c r="G397" s="31"/>
      <c r="H397" s="31"/>
      <c r="I397" s="31"/>
    </row>
    <row r="398" spans="1:9" ht="21.75" thickBot="1">
      <c r="A398" s="30" t="s">
        <v>667</v>
      </c>
      <c r="B398" s="30"/>
      <c r="C398" s="30"/>
      <c r="D398" s="30"/>
      <c r="E398" s="30"/>
      <c r="F398" s="30"/>
      <c r="G398" s="30"/>
      <c r="H398" s="30"/>
      <c r="I398" s="30"/>
    </row>
    <row r="399" spans="1:9" ht="13.5" thickBot="1">
      <c r="A399" s="31">
        <v>1933</v>
      </c>
      <c r="B399" s="31"/>
      <c r="C399" s="31"/>
      <c r="D399" s="31"/>
      <c r="E399" s="31"/>
      <c r="F399" s="31"/>
      <c r="G399" s="31"/>
      <c r="H399" s="31"/>
      <c r="I399" s="31"/>
    </row>
    <row r="400" spans="1:9" ht="13.5" thickBot="1">
      <c r="A400" s="31">
        <v>1937</v>
      </c>
      <c r="B400" s="31"/>
      <c r="C400" s="31"/>
      <c r="D400" s="31"/>
      <c r="E400" s="31"/>
      <c r="F400" s="31"/>
      <c r="G400" s="31"/>
      <c r="H400" s="31"/>
      <c r="I400" s="31"/>
    </row>
    <row r="401" spans="1:9" ht="13.5" thickBot="1">
      <c r="A401" s="31">
        <v>1946</v>
      </c>
      <c r="B401" s="31"/>
      <c r="C401" s="31"/>
      <c r="D401" s="31"/>
      <c r="E401" s="31"/>
      <c r="F401" s="31"/>
      <c r="G401" s="31"/>
      <c r="H401" s="31"/>
      <c r="I401" s="31"/>
    </row>
    <row r="402" spans="1:9" ht="13.5" thickBot="1">
      <c r="A402" s="31">
        <v>1915</v>
      </c>
      <c r="B402" s="31"/>
      <c r="C402" s="31"/>
      <c r="D402" s="31"/>
      <c r="E402" s="31"/>
      <c r="F402" s="31"/>
      <c r="G402" s="31"/>
      <c r="H402" s="31"/>
      <c r="I402" s="31"/>
    </row>
    <row r="403" spans="1:9" ht="13.5" thickBot="1">
      <c r="A403" s="31">
        <v>1965</v>
      </c>
      <c r="B403" s="31"/>
      <c r="C403" s="31"/>
      <c r="D403" s="31"/>
      <c r="E403" s="31"/>
      <c r="F403" s="31"/>
      <c r="G403" s="31"/>
      <c r="H403" s="31"/>
      <c r="I403" s="31"/>
    </row>
    <row r="404" spans="1:9" ht="21.75" thickBot="1">
      <c r="A404" s="30" t="s">
        <v>668</v>
      </c>
      <c r="B404" s="30"/>
      <c r="C404" s="30"/>
      <c r="D404" s="30"/>
      <c r="E404" s="30"/>
      <c r="F404" s="30"/>
      <c r="G404" s="30"/>
      <c r="H404" s="30"/>
      <c r="I404" s="30"/>
    </row>
    <row r="405" spans="1:9" ht="13.5" thickBot="1">
      <c r="A405" s="31">
        <v>1933</v>
      </c>
      <c r="B405" s="31"/>
      <c r="C405" s="31"/>
      <c r="D405" s="31"/>
      <c r="E405" s="31"/>
      <c r="F405" s="31"/>
      <c r="G405" s="31"/>
      <c r="H405" s="31"/>
      <c r="I405" s="31"/>
    </row>
    <row r="406" spans="1:9" ht="13.5" thickBot="1">
      <c r="A406" s="31">
        <v>1937</v>
      </c>
      <c r="B406" s="31"/>
      <c r="C406" s="31"/>
      <c r="D406" s="31"/>
      <c r="E406" s="31"/>
      <c r="F406" s="31"/>
      <c r="G406" s="31"/>
      <c r="H406" s="31"/>
      <c r="I406" s="31"/>
    </row>
    <row r="407" spans="1:9" ht="13.5" thickBot="1">
      <c r="A407" s="31">
        <v>1946</v>
      </c>
      <c r="B407" s="31"/>
      <c r="C407" s="31"/>
      <c r="D407" s="31"/>
      <c r="E407" s="31"/>
      <c r="F407" s="31"/>
      <c r="G407" s="31"/>
      <c r="H407" s="31"/>
      <c r="I407" s="31"/>
    </row>
    <row r="408" spans="1:9" ht="13.5" thickBot="1">
      <c r="A408" s="31">
        <v>1915</v>
      </c>
      <c r="B408" s="31"/>
      <c r="C408" s="31"/>
      <c r="D408" s="31"/>
      <c r="E408" s="31"/>
      <c r="F408" s="31"/>
      <c r="G408" s="31"/>
      <c r="H408" s="31"/>
      <c r="I408" s="31"/>
    </row>
    <row r="409" spans="1:9" ht="13.5" thickBot="1">
      <c r="A409" s="31">
        <v>1965</v>
      </c>
      <c r="B409" s="31"/>
      <c r="C409" s="31"/>
      <c r="D409" s="31"/>
      <c r="E409" s="31"/>
      <c r="F409" s="31"/>
      <c r="G409" s="31"/>
      <c r="H409" s="31"/>
      <c r="I409" s="31"/>
    </row>
    <row r="410" spans="1:9" ht="21.75" thickBot="1">
      <c r="A410" s="30" t="s">
        <v>1375</v>
      </c>
      <c r="B410" s="30"/>
      <c r="C410" s="30"/>
      <c r="D410" s="30"/>
      <c r="E410" s="30"/>
      <c r="F410" s="30"/>
      <c r="G410" s="30"/>
      <c r="H410" s="30"/>
      <c r="I410" s="30"/>
    </row>
    <row r="411" spans="1:9" ht="13.5" thickBot="1">
      <c r="A411" s="31">
        <v>1933</v>
      </c>
      <c r="B411" s="31"/>
      <c r="C411" s="31"/>
      <c r="D411" s="31"/>
      <c r="E411" s="31"/>
      <c r="F411" s="31"/>
      <c r="G411" s="31"/>
      <c r="H411" s="31"/>
      <c r="I411" s="31"/>
    </row>
    <row r="412" spans="1:9" ht="13.5" thickBot="1">
      <c r="A412" s="31">
        <v>1937</v>
      </c>
      <c r="B412" s="31"/>
      <c r="C412" s="31"/>
      <c r="D412" s="31"/>
      <c r="E412" s="31"/>
      <c r="F412" s="31"/>
      <c r="G412" s="31"/>
      <c r="H412" s="31"/>
      <c r="I412" s="31"/>
    </row>
    <row r="413" spans="1:9" ht="13.5" thickBot="1">
      <c r="A413" s="31">
        <v>1946</v>
      </c>
      <c r="B413" s="31"/>
      <c r="C413" s="31"/>
      <c r="D413" s="31"/>
      <c r="E413" s="31"/>
      <c r="F413" s="31"/>
      <c r="G413" s="31"/>
      <c r="H413" s="31"/>
      <c r="I413" s="31"/>
    </row>
    <row r="414" spans="1:9" ht="13.5" thickBot="1">
      <c r="A414" s="31">
        <v>1915</v>
      </c>
      <c r="B414" s="31"/>
      <c r="C414" s="31"/>
      <c r="D414" s="31"/>
      <c r="E414" s="31"/>
      <c r="F414" s="31"/>
      <c r="G414" s="31"/>
      <c r="H414" s="31"/>
      <c r="I414" s="31"/>
    </row>
    <row r="415" spans="1:9" ht="13.5" thickBot="1">
      <c r="A415" s="31">
        <v>1965</v>
      </c>
      <c r="B415" s="31"/>
      <c r="C415" s="31"/>
      <c r="D415" s="31"/>
      <c r="E415" s="31"/>
      <c r="F415" s="31"/>
      <c r="G415" s="31"/>
      <c r="H415" s="31"/>
      <c r="I415" s="31"/>
    </row>
    <row r="416" spans="1:9" ht="42.75" thickBot="1">
      <c r="A416" s="30" t="s">
        <v>1376</v>
      </c>
      <c r="B416" s="30"/>
      <c r="C416" s="30"/>
      <c r="D416" s="30"/>
      <c r="E416" s="30"/>
      <c r="F416" s="30"/>
      <c r="G416" s="30"/>
      <c r="H416" s="30"/>
      <c r="I416" s="30"/>
    </row>
    <row r="417" spans="1:9" ht="13.5" thickBot="1">
      <c r="A417" s="31">
        <v>1933</v>
      </c>
      <c r="B417" s="31"/>
      <c r="C417" s="31"/>
      <c r="D417" s="31"/>
      <c r="E417" s="31"/>
      <c r="F417" s="31"/>
      <c r="G417" s="31"/>
      <c r="H417" s="31"/>
      <c r="I417" s="31"/>
    </row>
    <row r="418" spans="1:9" ht="13.5" thickBot="1">
      <c r="A418" s="31">
        <v>1937</v>
      </c>
      <c r="B418" s="31"/>
      <c r="C418" s="31"/>
      <c r="D418" s="31"/>
      <c r="E418" s="31"/>
      <c r="F418" s="31"/>
      <c r="G418" s="31"/>
      <c r="H418" s="31"/>
      <c r="I418" s="31"/>
    </row>
    <row r="419" spans="1:9" ht="13.5" thickBot="1">
      <c r="A419" s="31">
        <v>1946</v>
      </c>
      <c r="B419" s="31"/>
      <c r="C419" s="31"/>
      <c r="D419" s="31"/>
      <c r="E419" s="31"/>
      <c r="F419" s="31"/>
      <c r="G419" s="31"/>
      <c r="H419" s="31"/>
      <c r="I419" s="31"/>
    </row>
    <row r="420" spans="1:9" ht="13.5" thickBot="1">
      <c r="A420" s="31">
        <v>1915</v>
      </c>
      <c r="B420" s="31"/>
      <c r="C420" s="31"/>
      <c r="D420" s="31"/>
      <c r="E420" s="31"/>
      <c r="F420" s="31"/>
      <c r="G420" s="31"/>
      <c r="H420" s="31"/>
      <c r="I420" s="31"/>
    </row>
    <row r="421" spans="1:9" ht="13.5" thickBot="1">
      <c r="A421" s="31">
        <v>1965</v>
      </c>
      <c r="B421" s="31"/>
      <c r="C421" s="31"/>
      <c r="D421" s="31"/>
      <c r="E421" s="31"/>
      <c r="F421" s="31"/>
      <c r="G421" s="31"/>
      <c r="H421" s="31"/>
      <c r="I421" s="31"/>
    </row>
    <row r="422" spans="1:9" ht="32.25" thickBot="1">
      <c r="A422" s="30" t="s">
        <v>54</v>
      </c>
      <c r="B422" s="30"/>
      <c r="C422" s="30"/>
      <c r="D422" s="30"/>
      <c r="E422" s="30"/>
      <c r="F422" s="30"/>
      <c r="G422" s="30"/>
      <c r="H422" s="30"/>
      <c r="I422" s="30"/>
    </row>
    <row r="423" spans="1:9" ht="13.5" thickBot="1">
      <c r="A423" s="31">
        <v>1933</v>
      </c>
      <c r="B423" s="31"/>
      <c r="C423" s="31"/>
      <c r="D423" s="31"/>
      <c r="E423" s="31"/>
      <c r="F423" s="31"/>
      <c r="G423" s="31"/>
      <c r="H423" s="31"/>
      <c r="I423" s="31"/>
    </row>
    <row r="424" spans="1:9" ht="13.5" thickBot="1">
      <c r="A424" s="31">
        <v>1937</v>
      </c>
      <c r="B424" s="31"/>
      <c r="C424" s="31"/>
      <c r="D424" s="31"/>
      <c r="E424" s="31"/>
      <c r="F424" s="31"/>
      <c r="G424" s="31"/>
      <c r="H424" s="31"/>
      <c r="I424" s="31"/>
    </row>
    <row r="425" spans="1:9" ht="13.5" thickBot="1">
      <c r="A425" s="31">
        <v>1946</v>
      </c>
      <c r="B425" s="31"/>
      <c r="C425" s="31"/>
      <c r="D425" s="31"/>
      <c r="E425" s="31"/>
      <c r="F425" s="31"/>
      <c r="G425" s="31"/>
      <c r="H425" s="31"/>
      <c r="I425" s="31"/>
    </row>
    <row r="426" spans="1:9" ht="13.5" thickBot="1">
      <c r="A426" s="31">
        <v>1915</v>
      </c>
      <c r="B426" s="31"/>
      <c r="C426" s="31"/>
      <c r="D426" s="31"/>
      <c r="E426" s="31"/>
      <c r="F426" s="31"/>
      <c r="G426" s="31"/>
      <c r="H426" s="31"/>
      <c r="I426" s="31"/>
    </row>
    <row r="427" spans="1:9" ht="13.5" thickBot="1">
      <c r="A427" s="31">
        <v>1965</v>
      </c>
      <c r="B427" s="31"/>
      <c r="C427" s="31"/>
      <c r="D427" s="31"/>
      <c r="E427" s="31"/>
      <c r="F427" s="31"/>
      <c r="G427" s="31"/>
      <c r="H427" s="31"/>
      <c r="I427" s="31"/>
    </row>
    <row r="428" spans="1:9" ht="42.75" thickBot="1">
      <c r="A428" s="30" t="s">
        <v>55</v>
      </c>
      <c r="B428" s="30"/>
      <c r="C428" s="30"/>
      <c r="D428" s="30"/>
      <c r="E428" s="30"/>
      <c r="F428" s="30"/>
      <c r="G428" s="30"/>
      <c r="H428" s="30"/>
      <c r="I428" s="30"/>
    </row>
    <row r="429" spans="1:9" ht="13.5" thickBot="1">
      <c r="A429" s="31">
        <v>1933</v>
      </c>
      <c r="B429" s="31"/>
      <c r="C429" s="31"/>
      <c r="D429" s="31"/>
      <c r="E429" s="31"/>
      <c r="F429" s="31"/>
      <c r="G429" s="31"/>
      <c r="H429" s="31"/>
      <c r="I429" s="31"/>
    </row>
    <row r="430" spans="1:9" ht="13.5" thickBot="1">
      <c r="A430" s="31">
        <v>1937</v>
      </c>
      <c r="B430" s="31"/>
      <c r="C430" s="31"/>
      <c r="D430" s="31"/>
      <c r="E430" s="31"/>
      <c r="F430" s="31"/>
      <c r="G430" s="31"/>
      <c r="H430" s="31"/>
      <c r="I430" s="31"/>
    </row>
    <row r="431" spans="1:9" ht="13.5" thickBot="1">
      <c r="A431" s="31">
        <v>1946</v>
      </c>
      <c r="B431" s="31"/>
      <c r="C431" s="31"/>
      <c r="D431" s="31"/>
      <c r="E431" s="31"/>
      <c r="F431" s="31"/>
      <c r="G431" s="31"/>
      <c r="H431" s="31"/>
      <c r="I431" s="31"/>
    </row>
    <row r="432" spans="1:9" ht="13.5" thickBot="1">
      <c r="A432" s="31">
        <v>1915</v>
      </c>
      <c r="B432" s="31"/>
      <c r="C432" s="31"/>
      <c r="D432" s="31"/>
      <c r="E432" s="31"/>
      <c r="F432" s="31"/>
      <c r="G432" s="31"/>
      <c r="H432" s="31"/>
      <c r="I432" s="31"/>
    </row>
    <row r="433" spans="1:9" ht="13.5" thickBot="1">
      <c r="A433" s="31">
        <v>1965</v>
      </c>
      <c r="B433" s="31"/>
      <c r="C433" s="31"/>
      <c r="D433" s="31"/>
      <c r="E433" s="31"/>
      <c r="F433" s="31"/>
      <c r="G433" s="31"/>
      <c r="H433" s="31"/>
      <c r="I433" s="31"/>
    </row>
    <row r="434" spans="1:9" ht="21.75" thickBot="1">
      <c r="A434" s="30" t="s">
        <v>669</v>
      </c>
      <c r="B434" s="30"/>
      <c r="C434" s="30"/>
      <c r="D434" s="30"/>
      <c r="E434" s="30"/>
      <c r="F434" s="30"/>
      <c r="G434" s="30"/>
      <c r="H434" s="30"/>
      <c r="I434" s="30"/>
    </row>
    <row r="435" spans="1:9" ht="13.5" thickBot="1">
      <c r="A435" s="31">
        <v>1933</v>
      </c>
      <c r="B435" s="31"/>
      <c r="C435" s="31"/>
      <c r="D435" s="31"/>
      <c r="E435" s="31"/>
      <c r="F435" s="31"/>
      <c r="G435" s="31"/>
      <c r="H435" s="31"/>
      <c r="I435" s="31"/>
    </row>
    <row r="436" spans="1:9" ht="13.5" thickBot="1">
      <c r="A436" s="31">
        <v>1937</v>
      </c>
      <c r="B436" s="31"/>
      <c r="C436" s="31"/>
      <c r="D436" s="31"/>
      <c r="E436" s="31"/>
      <c r="F436" s="31"/>
      <c r="G436" s="31"/>
      <c r="H436" s="31"/>
      <c r="I436" s="31"/>
    </row>
    <row r="437" spans="1:9" ht="13.5" thickBot="1">
      <c r="A437" s="31">
        <v>1946</v>
      </c>
      <c r="B437" s="31"/>
      <c r="C437" s="31"/>
      <c r="D437" s="31"/>
      <c r="E437" s="31"/>
      <c r="F437" s="31"/>
      <c r="G437" s="31"/>
      <c r="H437" s="31"/>
      <c r="I437" s="31"/>
    </row>
    <row r="438" spans="1:9" ht="13.5" thickBot="1">
      <c r="A438" s="31">
        <v>1915</v>
      </c>
      <c r="B438" s="31"/>
      <c r="C438" s="31"/>
      <c r="D438" s="31"/>
      <c r="E438" s="31"/>
      <c r="F438" s="31"/>
      <c r="G438" s="31"/>
      <c r="H438" s="31"/>
      <c r="I438" s="31"/>
    </row>
    <row r="439" spans="1:9" ht="13.5" thickBot="1">
      <c r="A439" s="31">
        <v>1965</v>
      </c>
      <c r="B439" s="31"/>
      <c r="C439" s="31"/>
      <c r="D439" s="31"/>
      <c r="E439" s="31"/>
      <c r="F439" s="31"/>
      <c r="G439" s="31"/>
      <c r="H439" s="31"/>
      <c r="I439" s="31"/>
    </row>
    <row r="440" spans="1:9" ht="21.75" thickBot="1">
      <c r="A440" s="30" t="s">
        <v>670</v>
      </c>
      <c r="B440" s="30"/>
      <c r="C440" s="30"/>
      <c r="D440" s="30">
        <v>8</v>
      </c>
      <c r="E440" s="30"/>
      <c r="F440" s="30"/>
      <c r="G440" s="30"/>
      <c r="H440" s="30"/>
      <c r="I440" s="30">
        <v>8</v>
      </c>
    </row>
    <row r="441" spans="1:9" ht="13.5" thickBot="1">
      <c r="A441" s="31">
        <v>1933</v>
      </c>
      <c r="B441" s="31"/>
      <c r="C441" s="31"/>
      <c r="D441" s="31">
        <v>8</v>
      </c>
      <c r="E441" s="31"/>
      <c r="F441" s="31"/>
      <c r="G441" s="31"/>
      <c r="H441" s="31"/>
      <c r="I441" s="31">
        <v>8</v>
      </c>
    </row>
    <row r="442" spans="1:9" ht="13.5" thickBot="1">
      <c r="A442" s="31">
        <v>1937</v>
      </c>
      <c r="B442" s="31"/>
      <c r="C442" s="31"/>
      <c r="D442" s="31"/>
      <c r="E442" s="31"/>
      <c r="F442" s="31"/>
      <c r="G442" s="31"/>
      <c r="H442" s="31"/>
      <c r="I442" s="31"/>
    </row>
    <row r="443" spans="1:9" ht="13.5" thickBot="1">
      <c r="A443" s="31">
        <v>1946</v>
      </c>
      <c r="B443" s="31"/>
      <c r="C443" s="31"/>
      <c r="D443" s="31"/>
      <c r="E443" s="31"/>
      <c r="F443" s="31"/>
      <c r="G443" s="31"/>
      <c r="H443" s="31"/>
      <c r="I443" s="31"/>
    </row>
    <row r="444" spans="1:9" ht="13.5" thickBot="1">
      <c r="A444" s="31">
        <v>1915</v>
      </c>
      <c r="B444" s="31"/>
      <c r="C444" s="31"/>
      <c r="D444" s="31"/>
      <c r="E444" s="31"/>
      <c r="F444" s="31"/>
      <c r="G444" s="31"/>
      <c r="H444" s="31"/>
      <c r="I444" s="31"/>
    </row>
    <row r="445" spans="1:9" ht="13.5" thickBot="1">
      <c r="A445" s="31">
        <v>1965</v>
      </c>
      <c r="B445" s="31"/>
      <c r="C445" s="31"/>
      <c r="D445" s="31"/>
      <c r="E445" s="31"/>
      <c r="F445" s="31"/>
      <c r="G445" s="31"/>
      <c r="H445" s="31"/>
      <c r="I445" s="31"/>
    </row>
    <row r="446" spans="1:9" ht="21.75" thickBot="1">
      <c r="A446" s="30" t="s">
        <v>671</v>
      </c>
      <c r="B446" s="30"/>
      <c r="C446" s="30"/>
      <c r="D446" s="30"/>
      <c r="E446" s="30"/>
      <c r="F446" s="30"/>
      <c r="G446" s="30"/>
      <c r="H446" s="30"/>
      <c r="I446" s="30"/>
    </row>
    <row r="447" spans="1:9" ht="13.5" thickBot="1">
      <c r="A447" s="31">
        <v>1933</v>
      </c>
      <c r="B447" s="31"/>
      <c r="C447" s="31"/>
      <c r="D447" s="31"/>
      <c r="E447" s="31"/>
      <c r="F447" s="31"/>
      <c r="G447" s="31"/>
      <c r="H447" s="31"/>
      <c r="I447" s="31"/>
    </row>
    <row r="448" spans="1:9" ht="13.5" thickBot="1">
      <c r="A448" s="31">
        <v>1937</v>
      </c>
      <c r="B448" s="31"/>
      <c r="C448" s="31"/>
      <c r="D448" s="31"/>
      <c r="E448" s="31"/>
      <c r="F448" s="31"/>
      <c r="G448" s="31"/>
      <c r="H448" s="31"/>
      <c r="I448" s="31"/>
    </row>
    <row r="449" spans="1:9" ht="13.5" thickBot="1">
      <c r="A449" s="31">
        <v>1946</v>
      </c>
      <c r="B449" s="31"/>
      <c r="C449" s="31"/>
      <c r="D449" s="31"/>
      <c r="E449" s="31"/>
      <c r="F449" s="31"/>
      <c r="G449" s="31"/>
      <c r="H449" s="31"/>
      <c r="I449" s="31"/>
    </row>
    <row r="450" spans="1:9" ht="13.5" thickBot="1">
      <c r="A450" s="31">
        <v>1915</v>
      </c>
      <c r="B450" s="31"/>
      <c r="C450" s="31"/>
      <c r="D450" s="31"/>
      <c r="E450" s="31"/>
      <c r="F450" s="31"/>
      <c r="G450" s="31"/>
      <c r="H450" s="31"/>
      <c r="I450" s="31"/>
    </row>
    <row r="451" spans="1:9" ht="13.5" thickBot="1">
      <c r="A451" s="31">
        <v>1965</v>
      </c>
      <c r="B451" s="31"/>
      <c r="C451" s="31"/>
      <c r="D451" s="31"/>
      <c r="E451" s="31"/>
      <c r="F451" s="31"/>
      <c r="G451" s="31"/>
      <c r="H451" s="31"/>
      <c r="I451" s="31"/>
    </row>
    <row r="452" spans="1:9" ht="21.75" thickBot="1">
      <c r="A452" s="30" t="s">
        <v>672</v>
      </c>
      <c r="B452" s="30"/>
      <c r="C452" s="30"/>
      <c r="D452" s="30"/>
      <c r="E452" s="30"/>
      <c r="F452" s="30"/>
      <c r="G452" s="30"/>
      <c r="H452" s="30"/>
      <c r="I452" s="30"/>
    </row>
    <row r="453" spans="1:9" ht="13.5" thickBot="1">
      <c r="A453" s="31">
        <v>1933</v>
      </c>
      <c r="B453" s="31"/>
      <c r="C453" s="31"/>
      <c r="D453" s="31"/>
      <c r="E453" s="31"/>
      <c r="F453" s="31"/>
      <c r="G453" s="31"/>
      <c r="H453" s="31"/>
      <c r="I453" s="31"/>
    </row>
    <row r="454" spans="1:9" ht="13.5" thickBot="1">
      <c r="A454" s="31">
        <v>1937</v>
      </c>
      <c r="B454" s="31"/>
      <c r="C454" s="31"/>
      <c r="D454" s="31"/>
      <c r="E454" s="31"/>
      <c r="F454" s="31"/>
      <c r="G454" s="31"/>
      <c r="H454" s="31"/>
      <c r="I454" s="31"/>
    </row>
    <row r="455" spans="1:9" ht="13.5" thickBot="1">
      <c r="A455" s="31">
        <v>1946</v>
      </c>
      <c r="B455" s="31"/>
      <c r="C455" s="31"/>
      <c r="D455" s="31"/>
      <c r="E455" s="31"/>
      <c r="F455" s="31"/>
      <c r="G455" s="31"/>
      <c r="H455" s="31"/>
      <c r="I455" s="31"/>
    </row>
    <row r="456" spans="1:9" ht="13.5" thickBot="1">
      <c r="A456" s="31">
        <v>1915</v>
      </c>
      <c r="B456" s="31"/>
      <c r="C456" s="31"/>
      <c r="D456" s="31"/>
      <c r="E456" s="31"/>
      <c r="F456" s="31"/>
      <c r="G456" s="31"/>
      <c r="H456" s="31"/>
      <c r="I456" s="31"/>
    </row>
    <row r="457" spans="1:9" ht="13.5" thickBot="1">
      <c r="A457" s="31">
        <v>1965</v>
      </c>
      <c r="B457" s="31"/>
      <c r="C457" s="31"/>
      <c r="D457" s="31"/>
      <c r="E457" s="31"/>
      <c r="F457" s="31"/>
      <c r="G457" s="31"/>
      <c r="H457" s="31"/>
      <c r="I457" s="31"/>
    </row>
    <row r="458" spans="1:9" ht="32.25" thickBot="1">
      <c r="A458" s="30" t="s">
        <v>673</v>
      </c>
      <c r="B458" s="30"/>
      <c r="C458" s="30"/>
      <c r="D458" s="30"/>
      <c r="E458" s="30"/>
      <c r="F458" s="30"/>
      <c r="G458" s="30"/>
      <c r="H458" s="30"/>
      <c r="I458" s="30"/>
    </row>
    <row r="459" spans="1:9" ht="13.5" thickBot="1">
      <c r="A459" s="31">
        <v>1933</v>
      </c>
      <c r="B459" s="31"/>
      <c r="C459" s="31"/>
      <c r="D459" s="31"/>
      <c r="E459" s="31"/>
      <c r="F459" s="31"/>
      <c r="G459" s="31"/>
      <c r="H459" s="31"/>
      <c r="I459" s="31"/>
    </row>
    <row r="460" spans="1:9" ht="13.5" thickBot="1">
      <c r="A460" s="31">
        <v>1937</v>
      </c>
      <c r="B460" s="31"/>
      <c r="C460" s="31"/>
      <c r="D460" s="31"/>
      <c r="E460" s="31"/>
      <c r="F460" s="31"/>
      <c r="G460" s="31"/>
      <c r="H460" s="31"/>
      <c r="I460" s="31"/>
    </row>
    <row r="461" spans="1:9" ht="13.5" thickBot="1">
      <c r="A461" s="31">
        <v>1946</v>
      </c>
      <c r="B461" s="31"/>
      <c r="C461" s="31"/>
      <c r="D461" s="31"/>
      <c r="E461" s="31"/>
      <c r="F461" s="31"/>
      <c r="G461" s="31"/>
      <c r="H461" s="31"/>
      <c r="I461" s="31"/>
    </row>
    <row r="462" spans="1:9" ht="13.5" thickBot="1">
      <c r="A462" s="31">
        <v>1915</v>
      </c>
      <c r="B462" s="31"/>
      <c r="C462" s="31"/>
      <c r="D462" s="31"/>
      <c r="E462" s="31"/>
      <c r="F462" s="31"/>
      <c r="G462" s="31"/>
      <c r="H462" s="31"/>
      <c r="I462" s="31"/>
    </row>
    <row r="463" spans="1:9" ht="13.5" thickBot="1">
      <c r="A463" s="31">
        <v>1965</v>
      </c>
      <c r="B463" s="31"/>
      <c r="C463" s="31"/>
      <c r="D463" s="31"/>
      <c r="E463" s="31"/>
      <c r="F463" s="31"/>
      <c r="G463" s="31"/>
      <c r="H463" s="31"/>
      <c r="I463" s="31"/>
    </row>
    <row r="464" spans="1:9" ht="32.25" thickBot="1">
      <c r="A464" s="30" t="s">
        <v>674</v>
      </c>
      <c r="B464" s="30"/>
      <c r="C464" s="30"/>
      <c r="D464" s="30"/>
      <c r="E464" s="30"/>
      <c r="F464" s="30"/>
      <c r="G464" s="30"/>
      <c r="H464" s="30"/>
      <c r="I464" s="30"/>
    </row>
    <row r="465" spans="1:9" ht="13.5" thickBot="1">
      <c r="A465" s="31">
        <v>1933</v>
      </c>
      <c r="B465" s="31"/>
      <c r="C465" s="31"/>
      <c r="D465" s="31"/>
      <c r="E465" s="31"/>
      <c r="F465" s="31"/>
      <c r="G465" s="31"/>
      <c r="H465" s="31"/>
      <c r="I465" s="31"/>
    </row>
    <row r="466" spans="1:9" ht="13.5" thickBot="1">
      <c r="A466" s="31">
        <v>1937</v>
      </c>
      <c r="B466" s="31"/>
      <c r="C466" s="31"/>
      <c r="D466" s="31"/>
      <c r="E466" s="31"/>
      <c r="F466" s="31"/>
      <c r="G466" s="31"/>
      <c r="H466" s="31"/>
      <c r="I466" s="31"/>
    </row>
    <row r="467" spans="1:9" ht="13.5" thickBot="1">
      <c r="A467" s="31">
        <v>1946</v>
      </c>
      <c r="B467" s="31"/>
      <c r="C467" s="31"/>
      <c r="D467" s="31"/>
      <c r="E467" s="31"/>
      <c r="F467" s="31"/>
      <c r="G467" s="31"/>
      <c r="H467" s="31"/>
      <c r="I467" s="31"/>
    </row>
    <row r="468" spans="1:9" ht="13.5" thickBot="1">
      <c r="A468" s="31">
        <v>1915</v>
      </c>
      <c r="B468" s="31"/>
      <c r="C468" s="31"/>
      <c r="D468" s="31"/>
      <c r="E468" s="31"/>
      <c r="F468" s="31"/>
      <c r="G468" s="31"/>
      <c r="H468" s="31"/>
      <c r="I468" s="31"/>
    </row>
    <row r="469" spans="1:9" ht="13.5" thickBot="1">
      <c r="A469" s="31">
        <v>1965</v>
      </c>
      <c r="B469" s="31"/>
      <c r="C469" s="31"/>
      <c r="D469" s="31"/>
      <c r="E469" s="31"/>
      <c r="F469" s="31"/>
      <c r="G469" s="31"/>
      <c r="H469" s="31"/>
      <c r="I469" s="31"/>
    </row>
    <row r="470" spans="1:9" ht="32.25" thickBot="1">
      <c r="A470" s="30" t="s">
        <v>675</v>
      </c>
      <c r="B470" s="30"/>
      <c r="C470" s="30"/>
      <c r="D470" s="30"/>
      <c r="E470" s="30"/>
      <c r="F470" s="30"/>
      <c r="G470" s="30"/>
      <c r="H470" s="30"/>
      <c r="I470" s="30"/>
    </row>
    <row r="471" spans="1:9" ht="13.5" thickBot="1">
      <c r="A471" s="31">
        <v>1933</v>
      </c>
      <c r="B471" s="31"/>
      <c r="C471" s="31"/>
      <c r="D471" s="31"/>
      <c r="E471" s="31"/>
      <c r="F471" s="31"/>
      <c r="G471" s="31"/>
      <c r="H471" s="31"/>
      <c r="I471" s="31"/>
    </row>
    <row r="472" spans="1:9" ht="13.5" thickBot="1">
      <c r="A472" s="31">
        <v>1937</v>
      </c>
      <c r="B472" s="31"/>
      <c r="C472" s="31"/>
      <c r="D472" s="31"/>
      <c r="E472" s="31"/>
      <c r="F472" s="31"/>
      <c r="G472" s="31"/>
      <c r="H472" s="31"/>
      <c r="I472" s="31"/>
    </row>
    <row r="473" spans="1:9" ht="13.5" thickBot="1">
      <c r="A473" s="31">
        <v>1946</v>
      </c>
      <c r="B473" s="31"/>
      <c r="C473" s="31"/>
      <c r="D473" s="31"/>
      <c r="E473" s="31"/>
      <c r="F473" s="31"/>
      <c r="G473" s="31"/>
      <c r="H473" s="31"/>
      <c r="I473" s="31"/>
    </row>
    <row r="474" spans="1:9" ht="13.5" thickBot="1">
      <c r="A474" s="31">
        <v>1915</v>
      </c>
      <c r="B474" s="31"/>
      <c r="C474" s="31"/>
      <c r="D474" s="31"/>
      <c r="E474" s="31"/>
      <c r="F474" s="31"/>
      <c r="G474" s="31"/>
      <c r="H474" s="31"/>
      <c r="I474" s="31"/>
    </row>
    <row r="475" spans="1:9" ht="13.5" thickBot="1">
      <c r="A475" s="31">
        <v>1965</v>
      </c>
      <c r="B475" s="31"/>
      <c r="C475" s="31"/>
      <c r="D475" s="31"/>
      <c r="E475" s="31"/>
      <c r="F475" s="31"/>
      <c r="G475" s="31"/>
      <c r="H475" s="31"/>
      <c r="I475" s="31"/>
    </row>
    <row r="476" spans="1:9" ht="32.25" thickBot="1">
      <c r="A476" s="30" t="s">
        <v>676</v>
      </c>
      <c r="B476" s="30"/>
      <c r="C476" s="30"/>
      <c r="D476" s="30"/>
      <c r="E476" s="30"/>
      <c r="F476" s="30"/>
      <c r="G476" s="30"/>
      <c r="H476" s="30"/>
      <c r="I476" s="30"/>
    </row>
    <row r="477" spans="1:9" ht="13.5" thickBot="1">
      <c r="A477" s="31">
        <v>1933</v>
      </c>
      <c r="B477" s="31"/>
      <c r="C477" s="31"/>
      <c r="D477" s="31"/>
      <c r="E477" s="31"/>
      <c r="F477" s="31"/>
      <c r="G477" s="31"/>
      <c r="H477" s="31"/>
      <c r="I477" s="31"/>
    </row>
    <row r="478" spans="1:9" ht="13.5" thickBot="1">
      <c r="A478" s="31">
        <v>1937</v>
      </c>
      <c r="B478" s="31"/>
      <c r="C478" s="31"/>
      <c r="D478" s="31"/>
      <c r="E478" s="31"/>
      <c r="F478" s="31"/>
      <c r="G478" s="31"/>
      <c r="H478" s="31"/>
      <c r="I478" s="31"/>
    </row>
    <row r="479" spans="1:9" ht="13.5" thickBot="1">
      <c r="A479" s="31">
        <v>1946</v>
      </c>
      <c r="B479" s="31"/>
      <c r="C479" s="31"/>
      <c r="D479" s="31"/>
      <c r="E479" s="31"/>
      <c r="F479" s="31"/>
      <c r="G479" s="31"/>
      <c r="H479" s="31"/>
      <c r="I479" s="31"/>
    </row>
    <row r="480" spans="1:9" ht="13.5" thickBot="1">
      <c r="A480" s="31">
        <v>1915</v>
      </c>
      <c r="B480" s="31"/>
      <c r="C480" s="31"/>
      <c r="D480" s="31"/>
      <c r="E480" s="31"/>
      <c r="F480" s="31"/>
      <c r="G480" s="31"/>
      <c r="H480" s="31"/>
      <c r="I480" s="31"/>
    </row>
    <row r="481" spans="1:9" ht="13.5" thickBot="1">
      <c r="A481" s="31">
        <v>1965</v>
      </c>
      <c r="B481" s="31"/>
      <c r="C481" s="31"/>
      <c r="D481" s="31"/>
      <c r="E481" s="31"/>
      <c r="F481" s="31"/>
      <c r="G481" s="31"/>
      <c r="H481" s="31"/>
      <c r="I481" s="31"/>
    </row>
    <row r="482" spans="1:9" ht="21.75" thickBot="1">
      <c r="A482" s="30" t="s">
        <v>677</v>
      </c>
      <c r="B482" s="30"/>
      <c r="C482" s="30"/>
      <c r="D482" s="30"/>
      <c r="E482" s="30"/>
      <c r="F482" s="30"/>
      <c r="G482" s="30"/>
      <c r="H482" s="30"/>
      <c r="I482" s="30"/>
    </row>
    <row r="483" spans="1:9" ht="13.5" thickBot="1">
      <c r="A483" s="31">
        <v>1933</v>
      </c>
      <c r="B483" s="31"/>
      <c r="C483" s="31"/>
      <c r="D483" s="31"/>
      <c r="E483" s="31"/>
      <c r="F483" s="31"/>
      <c r="G483" s="31"/>
      <c r="H483" s="31"/>
      <c r="I483" s="31"/>
    </row>
    <row r="484" spans="1:9" ht="13.5" thickBot="1">
      <c r="A484" s="31">
        <v>1937</v>
      </c>
      <c r="B484" s="31"/>
      <c r="C484" s="31"/>
      <c r="D484" s="31"/>
      <c r="E484" s="31"/>
      <c r="F484" s="31"/>
      <c r="G484" s="31"/>
      <c r="H484" s="31"/>
      <c r="I484" s="31"/>
    </row>
    <row r="485" spans="1:9" ht="13.5" thickBot="1">
      <c r="A485" s="31">
        <v>1946</v>
      </c>
      <c r="B485" s="31"/>
      <c r="C485" s="31"/>
      <c r="D485" s="31"/>
      <c r="E485" s="31"/>
      <c r="F485" s="31"/>
      <c r="G485" s="31"/>
      <c r="H485" s="31"/>
      <c r="I485" s="31"/>
    </row>
    <row r="486" spans="1:9" ht="13.5" thickBot="1">
      <c r="A486" s="31">
        <v>1915</v>
      </c>
      <c r="B486" s="31"/>
      <c r="C486" s="31"/>
      <c r="D486" s="31"/>
      <c r="E486" s="31"/>
      <c r="F486" s="31"/>
      <c r="G486" s="31"/>
      <c r="H486" s="31"/>
      <c r="I486" s="31"/>
    </row>
    <row r="487" spans="1:9" ht="13.5" thickBot="1">
      <c r="A487" s="31">
        <v>1965</v>
      </c>
      <c r="B487" s="31"/>
      <c r="C487" s="31"/>
      <c r="D487" s="31"/>
      <c r="E487" s="31"/>
      <c r="F487" s="31"/>
      <c r="G487" s="31"/>
      <c r="H487" s="31"/>
      <c r="I487" s="31"/>
    </row>
    <row r="488" spans="1:9" ht="21.75" thickBot="1">
      <c r="A488" s="30" t="s">
        <v>678</v>
      </c>
      <c r="B488" s="30"/>
      <c r="C488" s="30"/>
      <c r="D488" s="30"/>
      <c r="E488" s="30"/>
      <c r="F488" s="30"/>
      <c r="G488" s="30"/>
      <c r="H488" s="30"/>
      <c r="I488" s="30"/>
    </row>
    <row r="489" spans="1:9" ht="13.5" thickBot="1">
      <c r="A489" s="31">
        <v>1933</v>
      </c>
      <c r="B489" s="31"/>
      <c r="C489" s="31"/>
      <c r="D489" s="31"/>
      <c r="E489" s="31"/>
      <c r="F489" s="31"/>
      <c r="G489" s="31"/>
      <c r="H489" s="31"/>
      <c r="I489" s="31"/>
    </row>
    <row r="490" spans="1:9" ht="13.5" thickBot="1">
      <c r="A490" s="31">
        <v>1937</v>
      </c>
      <c r="B490" s="31"/>
      <c r="C490" s="31"/>
      <c r="D490" s="31"/>
      <c r="E490" s="31"/>
      <c r="F490" s="31"/>
      <c r="G490" s="31"/>
      <c r="H490" s="31"/>
      <c r="I490" s="31"/>
    </row>
    <row r="491" spans="1:9" ht="13.5" thickBot="1">
      <c r="A491" s="31">
        <v>1946</v>
      </c>
      <c r="B491" s="31"/>
      <c r="C491" s="31"/>
      <c r="D491" s="31"/>
      <c r="E491" s="31"/>
      <c r="F491" s="31"/>
      <c r="G491" s="31"/>
      <c r="H491" s="31"/>
      <c r="I491" s="31"/>
    </row>
    <row r="492" spans="1:9" ht="13.5" thickBot="1">
      <c r="A492" s="31">
        <v>1915</v>
      </c>
      <c r="B492" s="31"/>
      <c r="C492" s="31"/>
      <c r="D492" s="31"/>
      <c r="E492" s="31"/>
      <c r="F492" s="31"/>
      <c r="G492" s="31"/>
      <c r="H492" s="31"/>
      <c r="I492" s="31"/>
    </row>
    <row r="493" spans="1:9" ht="13.5" thickBot="1">
      <c r="A493" s="31">
        <v>1965</v>
      </c>
      <c r="B493" s="31"/>
      <c r="C493" s="31"/>
      <c r="D493" s="31"/>
      <c r="E493" s="31"/>
      <c r="F493" s="31"/>
      <c r="G493" s="31"/>
      <c r="H493" s="31"/>
      <c r="I493" s="31"/>
    </row>
    <row r="494" spans="1:9" ht="21.75" thickBot="1">
      <c r="A494" s="30" t="s">
        <v>679</v>
      </c>
      <c r="B494" s="30"/>
      <c r="C494" s="30"/>
      <c r="D494" s="30"/>
      <c r="E494" s="30"/>
      <c r="F494" s="30"/>
      <c r="G494" s="30"/>
      <c r="H494" s="30"/>
      <c r="I494" s="30"/>
    </row>
    <row r="495" spans="1:9" ht="13.5" thickBot="1">
      <c r="A495" s="31">
        <v>1933</v>
      </c>
      <c r="B495" s="31"/>
      <c r="C495" s="31"/>
      <c r="D495" s="31"/>
      <c r="E495" s="31"/>
      <c r="F495" s="31"/>
      <c r="G495" s="31"/>
      <c r="H495" s="31"/>
      <c r="I495" s="31"/>
    </row>
    <row r="496" spans="1:9" ht="13.5" thickBot="1">
      <c r="A496" s="31">
        <v>1937</v>
      </c>
      <c r="B496" s="31"/>
      <c r="C496" s="31"/>
      <c r="D496" s="31"/>
      <c r="E496" s="31"/>
      <c r="F496" s="31"/>
      <c r="G496" s="31"/>
      <c r="H496" s="31"/>
      <c r="I496" s="31"/>
    </row>
    <row r="497" spans="1:9" ht="13.5" thickBot="1">
      <c r="A497" s="31">
        <v>1946</v>
      </c>
      <c r="B497" s="31"/>
      <c r="C497" s="31"/>
      <c r="D497" s="31"/>
      <c r="E497" s="31"/>
      <c r="F497" s="31"/>
      <c r="G497" s="31"/>
      <c r="H497" s="31"/>
      <c r="I497" s="31"/>
    </row>
    <row r="498" spans="1:9" ht="13.5" thickBot="1">
      <c r="A498" s="31">
        <v>1915</v>
      </c>
      <c r="B498" s="31"/>
      <c r="C498" s="31"/>
      <c r="D498" s="31"/>
      <c r="E498" s="31"/>
      <c r="F498" s="31"/>
      <c r="G498" s="31"/>
      <c r="H498" s="31"/>
      <c r="I498" s="31"/>
    </row>
    <row r="499" spans="1:9" ht="13.5" thickBot="1">
      <c r="A499" s="31">
        <v>1965</v>
      </c>
      <c r="B499" s="31"/>
      <c r="C499" s="31"/>
      <c r="D499" s="31"/>
      <c r="E499" s="31"/>
      <c r="F499" s="31"/>
      <c r="G499" s="31"/>
      <c r="H499" s="31"/>
      <c r="I499" s="31"/>
    </row>
    <row r="500" spans="1:9" ht="21.75" thickBot="1">
      <c r="A500" s="30" t="s">
        <v>680</v>
      </c>
      <c r="B500" s="30">
        <v>75.5</v>
      </c>
      <c r="C500" s="30">
        <v>99</v>
      </c>
      <c r="D500" s="30">
        <v>105.5</v>
      </c>
      <c r="E500" s="30">
        <v>80.5</v>
      </c>
      <c r="F500" s="30">
        <v>91.5</v>
      </c>
      <c r="G500" s="30">
        <v>32.5</v>
      </c>
      <c r="H500" s="30"/>
      <c r="I500" s="30">
        <v>484.5</v>
      </c>
    </row>
    <row r="501" spans="1:9" ht="13.5" thickBot="1">
      <c r="A501" s="31">
        <v>1933</v>
      </c>
      <c r="B501" s="31">
        <v>15</v>
      </c>
      <c r="C501" s="31">
        <v>38.5</v>
      </c>
      <c r="D501" s="31">
        <v>62</v>
      </c>
      <c r="E501" s="31">
        <v>54</v>
      </c>
      <c r="F501" s="31">
        <v>53.5</v>
      </c>
      <c r="G501" s="31">
        <v>15.5</v>
      </c>
      <c r="H501" s="31"/>
      <c r="I501" s="31">
        <v>238.5</v>
      </c>
    </row>
    <row r="502" spans="1:9" ht="13.5" thickBot="1">
      <c r="A502" s="31">
        <v>1937</v>
      </c>
      <c r="B502" s="31">
        <v>43.5</v>
      </c>
      <c r="C502" s="31">
        <v>26.5</v>
      </c>
      <c r="D502" s="31">
        <v>26.5</v>
      </c>
      <c r="E502" s="31">
        <v>19</v>
      </c>
      <c r="F502" s="31">
        <v>17</v>
      </c>
      <c r="G502" s="31">
        <v>9.5</v>
      </c>
      <c r="H502" s="31"/>
      <c r="I502" s="31">
        <v>142</v>
      </c>
    </row>
    <row r="503" spans="1:9" ht="13.5" thickBot="1">
      <c r="A503" s="31">
        <v>1946</v>
      </c>
      <c r="B503" s="31">
        <v>17</v>
      </c>
      <c r="C503" s="31">
        <v>26.5</v>
      </c>
      <c r="D503" s="31">
        <v>9.5</v>
      </c>
      <c r="E503" s="31">
        <v>7.5</v>
      </c>
      <c r="F503" s="31">
        <v>13.5</v>
      </c>
      <c r="G503" s="31"/>
      <c r="H503" s="31"/>
      <c r="I503" s="31">
        <v>74</v>
      </c>
    </row>
    <row r="504" spans="1:9" ht="13.5" thickBot="1">
      <c r="A504" s="31">
        <v>1915</v>
      </c>
      <c r="B504" s="31"/>
      <c r="C504" s="31"/>
      <c r="D504" s="31"/>
      <c r="E504" s="31"/>
      <c r="F504" s="31"/>
      <c r="G504" s="31"/>
      <c r="H504" s="31"/>
      <c r="I504" s="31"/>
    </row>
    <row r="505" spans="1:9" ht="13.5" thickBot="1">
      <c r="A505" s="31">
        <v>1965</v>
      </c>
      <c r="B505" s="31"/>
      <c r="C505" s="31"/>
      <c r="D505" s="31"/>
      <c r="E505" s="31"/>
      <c r="F505" s="31"/>
      <c r="G505" s="31"/>
      <c r="H505" s="31"/>
      <c r="I505" s="31"/>
    </row>
    <row r="506" spans="1:9" ht="21.75" thickBot="1">
      <c r="A506" s="30" t="s">
        <v>681</v>
      </c>
      <c r="B506" s="30"/>
      <c r="C506" s="30"/>
      <c r="D506" s="30"/>
      <c r="E506" s="30"/>
      <c r="F506" s="30"/>
      <c r="G506" s="30"/>
      <c r="H506" s="30"/>
      <c r="I506" s="30"/>
    </row>
    <row r="507" spans="1:9" ht="13.5" thickBot="1">
      <c r="A507" s="31">
        <v>1933</v>
      </c>
      <c r="B507" s="31"/>
      <c r="C507" s="31"/>
      <c r="D507" s="31"/>
      <c r="E507" s="31"/>
      <c r="F507" s="31"/>
      <c r="G507" s="31"/>
      <c r="H507" s="31"/>
      <c r="I507" s="31"/>
    </row>
    <row r="508" spans="1:9" ht="13.5" thickBot="1">
      <c r="A508" s="31">
        <v>1937</v>
      </c>
      <c r="B508" s="31"/>
      <c r="C508" s="31"/>
      <c r="D508" s="31"/>
      <c r="E508" s="31"/>
      <c r="F508" s="31"/>
      <c r="G508" s="31"/>
      <c r="H508" s="31"/>
      <c r="I508" s="31"/>
    </row>
    <row r="509" spans="1:9" ht="13.5" thickBot="1">
      <c r="A509" s="31">
        <v>1946</v>
      </c>
      <c r="B509" s="31"/>
      <c r="C509" s="31"/>
      <c r="D509" s="31"/>
      <c r="E509" s="31"/>
      <c r="F509" s="31"/>
      <c r="G509" s="31"/>
      <c r="H509" s="31"/>
      <c r="I509" s="31"/>
    </row>
    <row r="510" spans="1:9" ht="13.5" thickBot="1">
      <c r="A510" s="31">
        <v>1915</v>
      </c>
      <c r="B510" s="31"/>
      <c r="C510" s="31"/>
      <c r="D510" s="31"/>
      <c r="E510" s="31"/>
      <c r="F510" s="31"/>
      <c r="G510" s="31"/>
      <c r="H510" s="31"/>
      <c r="I510" s="31"/>
    </row>
    <row r="511" spans="1:9" ht="13.5" thickBot="1">
      <c r="A511" s="31">
        <v>1965</v>
      </c>
      <c r="B511" s="31"/>
      <c r="C511" s="31"/>
      <c r="D511" s="31"/>
      <c r="E511" s="31"/>
      <c r="F511" s="31"/>
      <c r="G511" s="31"/>
      <c r="H511" s="31"/>
      <c r="I511" s="31"/>
    </row>
    <row r="512" spans="1:9" ht="32.25" thickBot="1">
      <c r="A512" s="30" t="s">
        <v>682</v>
      </c>
      <c r="B512" s="30"/>
      <c r="C512" s="30"/>
      <c r="D512" s="30"/>
      <c r="E512" s="30"/>
      <c r="F512" s="30"/>
      <c r="G512" s="30"/>
      <c r="H512" s="30"/>
      <c r="I512" s="30"/>
    </row>
    <row r="513" spans="1:9" ht="13.5" thickBot="1">
      <c r="A513" s="31">
        <v>1933</v>
      </c>
      <c r="B513" s="31"/>
      <c r="C513" s="31"/>
      <c r="D513" s="31"/>
      <c r="E513" s="31"/>
      <c r="F513" s="31"/>
      <c r="G513" s="31"/>
      <c r="H513" s="31"/>
      <c r="I513" s="31"/>
    </row>
    <row r="514" spans="1:9" ht="13.5" thickBot="1">
      <c r="A514" s="31">
        <v>1937</v>
      </c>
      <c r="B514" s="31"/>
      <c r="C514" s="31"/>
      <c r="D514" s="31"/>
      <c r="E514" s="31"/>
      <c r="F514" s="31"/>
      <c r="G514" s="31"/>
      <c r="H514" s="31"/>
      <c r="I514" s="31"/>
    </row>
    <row r="515" spans="1:9" ht="13.5" thickBot="1">
      <c r="A515" s="31">
        <v>1946</v>
      </c>
      <c r="B515" s="31"/>
      <c r="C515" s="31"/>
      <c r="D515" s="31"/>
      <c r="E515" s="31"/>
      <c r="F515" s="31"/>
      <c r="G515" s="31"/>
      <c r="H515" s="31"/>
      <c r="I515" s="31"/>
    </row>
    <row r="516" spans="1:9" ht="13.5" thickBot="1">
      <c r="A516" s="31">
        <v>1915</v>
      </c>
      <c r="B516" s="31"/>
      <c r="C516" s="31"/>
      <c r="D516" s="31"/>
      <c r="E516" s="31"/>
      <c r="F516" s="31"/>
      <c r="G516" s="31"/>
      <c r="H516" s="31"/>
      <c r="I516" s="31"/>
    </row>
    <row r="517" spans="1:9" ht="13.5" thickBot="1">
      <c r="A517" s="31">
        <v>1965</v>
      </c>
      <c r="B517" s="31"/>
      <c r="C517" s="31"/>
      <c r="D517" s="31"/>
      <c r="E517" s="31"/>
      <c r="F517" s="31"/>
      <c r="G517" s="31"/>
      <c r="H517" s="31"/>
      <c r="I517" s="31"/>
    </row>
    <row r="518" spans="1:9" ht="32.25" thickBot="1">
      <c r="A518" s="30" t="s">
        <v>683</v>
      </c>
      <c r="B518" s="30">
        <v>19.88</v>
      </c>
      <c r="C518" s="30">
        <v>23.85</v>
      </c>
      <c r="D518" s="30">
        <v>11</v>
      </c>
      <c r="E518" s="30">
        <v>20</v>
      </c>
      <c r="F518" s="30">
        <v>11.5</v>
      </c>
      <c r="G518" s="30">
        <v>11</v>
      </c>
      <c r="H518" s="30">
        <v>1.5</v>
      </c>
      <c r="I518" s="30">
        <v>98.73</v>
      </c>
    </row>
    <row r="519" spans="1:9" ht="13.5" thickBot="1">
      <c r="A519" s="31">
        <v>1933</v>
      </c>
      <c r="B519" s="31">
        <v>13.88</v>
      </c>
      <c r="C519" s="31">
        <v>17.850000000000001</v>
      </c>
      <c r="D519" s="31">
        <v>7</v>
      </c>
      <c r="E519" s="31">
        <v>10</v>
      </c>
      <c r="F519" s="31">
        <v>5.5</v>
      </c>
      <c r="G519" s="31">
        <v>11</v>
      </c>
      <c r="H519" s="31">
        <v>1.5</v>
      </c>
      <c r="I519" s="31">
        <v>66.73</v>
      </c>
    </row>
    <row r="520" spans="1:9" ht="13.5" thickBot="1">
      <c r="A520" s="31">
        <v>1937</v>
      </c>
      <c r="B520" s="31">
        <v>6</v>
      </c>
      <c r="C520" s="31">
        <v>6</v>
      </c>
      <c r="D520" s="31">
        <v>4</v>
      </c>
      <c r="E520" s="31">
        <v>10</v>
      </c>
      <c r="F520" s="31">
        <v>6</v>
      </c>
      <c r="G520" s="31"/>
      <c r="H520" s="31"/>
      <c r="I520" s="31">
        <v>32</v>
      </c>
    </row>
    <row r="521" spans="1:9" ht="13.5" thickBot="1">
      <c r="A521" s="31">
        <v>1946</v>
      </c>
      <c r="B521" s="31"/>
      <c r="C521" s="31"/>
      <c r="D521" s="31"/>
      <c r="E521" s="31"/>
      <c r="F521" s="31"/>
      <c r="G521" s="31"/>
      <c r="H521" s="31"/>
      <c r="I521" s="31"/>
    </row>
    <row r="522" spans="1:9" ht="13.5" thickBot="1">
      <c r="A522" s="31">
        <v>1915</v>
      </c>
      <c r="B522" s="31"/>
      <c r="C522" s="31"/>
      <c r="D522" s="31"/>
      <c r="E522" s="31"/>
      <c r="F522" s="31"/>
      <c r="G522" s="31"/>
      <c r="H522" s="31"/>
      <c r="I522" s="31"/>
    </row>
    <row r="523" spans="1:9" ht="13.5" thickBot="1">
      <c r="A523" s="31">
        <v>1965</v>
      </c>
      <c r="B523" s="31"/>
      <c r="C523" s="31"/>
      <c r="D523" s="31"/>
      <c r="E523" s="31"/>
      <c r="F523" s="31"/>
      <c r="G523" s="31"/>
      <c r="H523" s="31"/>
      <c r="I523" s="31"/>
    </row>
    <row r="524" spans="1:9" ht="32.25" thickBot="1">
      <c r="A524" s="30" t="s">
        <v>684</v>
      </c>
      <c r="B524" s="30"/>
      <c r="C524" s="30"/>
      <c r="D524" s="30">
        <v>7.5</v>
      </c>
      <c r="E524" s="30">
        <v>7.5</v>
      </c>
      <c r="F524" s="30">
        <v>7.5</v>
      </c>
      <c r="G524" s="30">
        <v>7.5</v>
      </c>
      <c r="H524" s="30"/>
      <c r="I524" s="30">
        <v>30</v>
      </c>
    </row>
    <row r="525" spans="1:9" ht="13.5" thickBot="1">
      <c r="A525" s="31">
        <v>1933</v>
      </c>
      <c r="B525" s="31"/>
      <c r="C525" s="31"/>
      <c r="D525" s="31"/>
      <c r="E525" s="31"/>
      <c r="F525" s="31"/>
      <c r="G525" s="31"/>
      <c r="H525" s="31"/>
      <c r="I525" s="31"/>
    </row>
    <row r="526" spans="1:9" ht="13.5" thickBot="1">
      <c r="A526" s="31">
        <v>1937</v>
      </c>
      <c r="B526" s="31"/>
      <c r="C526" s="31"/>
      <c r="D526" s="31"/>
      <c r="E526" s="31"/>
      <c r="F526" s="31"/>
      <c r="G526" s="31"/>
      <c r="H526" s="31"/>
      <c r="I526" s="31"/>
    </row>
    <row r="527" spans="1:9" ht="13.5" thickBot="1">
      <c r="A527" s="31">
        <v>1946</v>
      </c>
      <c r="B527" s="31"/>
      <c r="C527" s="31"/>
      <c r="D527" s="31"/>
      <c r="E527" s="31"/>
      <c r="F527" s="31"/>
      <c r="G527" s="31"/>
      <c r="H527" s="31"/>
      <c r="I527" s="31"/>
    </row>
    <row r="528" spans="1:9" ht="13.5" thickBot="1">
      <c r="A528" s="31">
        <v>1915</v>
      </c>
      <c r="B528" s="31"/>
      <c r="C528" s="31"/>
      <c r="D528" s="31"/>
      <c r="E528" s="31"/>
      <c r="F528" s="31"/>
      <c r="G528" s="31"/>
      <c r="H528" s="31"/>
      <c r="I528" s="31"/>
    </row>
    <row r="529" spans="1:9" ht="13.5" thickBot="1">
      <c r="A529" s="31">
        <v>1965</v>
      </c>
      <c r="B529" s="31"/>
      <c r="C529" s="31"/>
      <c r="D529" s="31"/>
      <c r="E529" s="31"/>
      <c r="F529" s="31"/>
      <c r="G529" s="31"/>
      <c r="H529" s="31"/>
      <c r="I529" s="31"/>
    </row>
    <row r="530" spans="1:9" ht="32.25" thickBot="1">
      <c r="A530" s="30" t="s">
        <v>685</v>
      </c>
      <c r="B530" s="30"/>
      <c r="C530" s="30"/>
      <c r="D530" s="30"/>
      <c r="E530" s="30"/>
      <c r="F530" s="30"/>
      <c r="G530" s="30"/>
      <c r="H530" s="30"/>
      <c r="I530" s="30"/>
    </row>
    <row r="531" spans="1:9" ht="13.5" thickBot="1">
      <c r="A531" s="31">
        <v>1933</v>
      </c>
      <c r="B531" s="31"/>
      <c r="C531" s="31"/>
      <c r="D531" s="31"/>
      <c r="E531" s="31"/>
      <c r="F531" s="31"/>
      <c r="G531" s="31"/>
      <c r="H531" s="31"/>
      <c r="I531" s="31"/>
    </row>
    <row r="532" spans="1:9" ht="13.5" thickBot="1">
      <c r="A532" s="31">
        <v>1937</v>
      </c>
      <c r="B532" s="31"/>
      <c r="C532" s="31"/>
      <c r="D532" s="31"/>
      <c r="E532" s="31"/>
      <c r="F532" s="31"/>
      <c r="G532" s="31"/>
      <c r="H532" s="31"/>
      <c r="I532" s="31"/>
    </row>
    <row r="533" spans="1:9" ht="13.5" thickBot="1">
      <c r="A533" s="31">
        <v>1946</v>
      </c>
      <c r="B533" s="31"/>
      <c r="C533" s="31"/>
      <c r="D533" s="31"/>
      <c r="E533" s="31"/>
      <c r="F533" s="31"/>
      <c r="G533" s="31"/>
      <c r="H533" s="31"/>
      <c r="I533" s="31"/>
    </row>
    <row r="534" spans="1:9" ht="13.5" thickBot="1">
      <c r="A534" s="31">
        <v>1915</v>
      </c>
      <c r="B534" s="31"/>
      <c r="C534" s="31"/>
      <c r="D534" s="31"/>
      <c r="E534" s="31"/>
      <c r="F534" s="31"/>
      <c r="G534" s="31"/>
      <c r="H534" s="31"/>
      <c r="I534" s="31"/>
    </row>
    <row r="535" spans="1:9" ht="13.5" thickBot="1">
      <c r="A535" s="31">
        <v>1965</v>
      </c>
      <c r="B535" s="31"/>
      <c r="C535" s="31"/>
      <c r="D535" s="31"/>
      <c r="E535" s="31"/>
      <c r="F535" s="31"/>
      <c r="G535" s="31"/>
      <c r="H535" s="31"/>
      <c r="I535" s="31"/>
    </row>
    <row r="536" spans="1:9" ht="32.25" thickBot="1">
      <c r="A536" s="30" t="s">
        <v>686</v>
      </c>
      <c r="B536" s="30"/>
      <c r="C536" s="30"/>
      <c r="D536" s="30"/>
      <c r="E536" s="30"/>
      <c r="F536" s="30"/>
      <c r="G536" s="30"/>
      <c r="H536" s="30"/>
      <c r="I536" s="30"/>
    </row>
    <row r="537" spans="1:9" ht="13.5" thickBot="1">
      <c r="A537" s="31">
        <v>1933</v>
      </c>
      <c r="B537" s="31"/>
      <c r="C537" s="31"/>
      <c r="D537" s="31"/>
      <c r="E537" s="31"/>
      <c r="F537" s="31"/>
      <c r="G537" s="31"/>
      <c r="H537" s="31"/>
      <c r="I537" s="31"/>
    </row>
    <row r="538" spans="1:9" ht="13.5" thickBot="1">
      <c r="A538" s="31">
        <v>1937</v>
      </c>
      <c r="B538" s="31"/>
      <c r="C538" s="31"/>
      <c r="D538" s="31"/>
      <c r="E538" s="31"/>
      <c r="F538" s="31"/>
      <c r="G538" s="31"/>
      <c r="H538" s="31"/>
      <c r="I538" s="31"/>
    </row>
    <row r="539" spans="1:9" ht="13.5" thickBot="1">
      <c r="A539" s="31">
        <v>1946</v>
      </c>
      <c r="B539" s="31"/>
      <c r="C539" s="31"/>
      <c r="D539" s="31"/>
      <c r="E539" s="31"/>
      <c r="F539" s="31"/>
      <c r="G539" s="31"/>
      <c r="H539" s="31"/>
      <c r="I539" s="31"/>
    </row>
    <row r="540" spans="1:9" ht="13.5" thickBot="1">
      <c r="A540" s="31">
        <v>1915</v>
      </c>
      <c r="B540" s="31"/>
      <c r="C540" s="31"/>
      <c r="D540" s="31"/>
      <c r="E540" s="31"/>
      <c r="F540" s="31"/>
      <c r="G540" s="31"/>
      <c r="H540" s="31"/>
      <c r="I540" s="31"/>
    </row>
    <row r="541" spans="1:9" ht="13.5" thickBot="1">
      <c r="A541" s="31">
        <v>1965</v>
      </c>
      <c r="B541" s="31"/>
      <c r="C541" s="31"/>
      <c r="D541" s="31"/>
      <c r="E541" s="31"/>
      <c r="F541" s="31"/>
      <c r="G541" s="31"/>
      <c r="H541" s="31"/>
      <c r="I541" s="31"/>
    </row>
    <row r="542" spans="1:9" ht="13.5" thickBot="1">
      <c r="A542" s="32" t="s">
        <v>608</v>
      </c>
      <c r="B542" s="32">
        <v>683.75</v>
      </c>
      <c r="C542" s="32">
        <v>698.58</v>
      </c>
      <c r="D542" s="32">
        <v>843.01</v>
      </c>
      <c r="E542" s="32">
        <v>875.43</v>
      </c>
      <c r="F542" s="32">
        <v>733.67</v>
      </c>
      <c r="G542" s="32">
        <v>384</v>
      </c>
      <c r="H542" s="32">
        <v>60</v>
      </c>
      <c r="I542" s="33">
        <v>4278.4399999999996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787"/>
  <sheetViews>
    <sheetView workbookViewId="0"/>
  </sheetViews>
  <sheetFormatPr defaultRowHeight="12.75"/>
  <sheetData>
    <row r="1" spans="1:6" ht="39" thickBot="1">
      <c r="A1" s="12"/>
      <c r="B1" s="13" t="s">
        <v>585</v>
      </c>
      <c r="C1" s="13" t="s">
        <v>586</v>
      </c>
      <c r="D1" s="13" t="s">
        <v>587</v>
      </c>
      <c r="E1" s="14" t="s">
        <v>588</v>
      </c>
      <c r="F1" s="13" t="s">
        <v>589</v>
      </c>
    </row>
    <row r="2" spans="1:6" ht="39" thickBot="1">
      <c r="A2" s="15">
        <v>115564</v>
      </c>
      <c r="B2" s="16" t="s">
        <v>590</v>
      </c>
      <c r="C2" s="15">
        <v>36</v>
      </c>
      <c r="D2" s="15">
        <v>36</v>
      </c>
      <c r="E2" s="17">
        <v>20</v>
      </c>
      <c r="F2" s="21">
        <v>19</v>
      </c>
    </row>
    <row r="3" spans="1:6" ht="72" thickBot="1">
      <c r="A3" s="15">
        <v>115597</v>
      </c>
      <c r="B3" s="18" t="s">
        <v>591</v>
      </c>
      <c r="C3" s="15">
        <v>64</v>
      </c>
      <c r="D3" s="15">
        <v>64</v>
      </c>
      <c r="E3" s="17">
        <v>20</v>
      </c>
      <c r="F3" s="21">
        <v>19</v>
      </c>
    </row>
    <row r="4" spans="1:6" ht="39" thickBot="1">
      <c r="A4" s="15">
        <v>115707</v>
      </c>
      <c r="B4" s="16" t="s">
        <v>592</v>
      </c>
      <c r="C4" s="15">
        <v>36</v>
      </c>
      <c r="D4" s="15">
        <v>36</v>
      </c>
      <c r="E4" s="17">
        <v>20</v>
      </c>
      <c r="F4" s="21">
        <v>19</v>
      </c>
    </row>
    <row r="5" spans="1:6" ht="57.75" thickBot="1">
      <c r="A5" s="15">
        <v>115797</v>
      </c>
      <c r="B5" s="18" t="s">
        <v>59</v>
      </c>
      <c r="C5" s="15">
        <v>81</v>
      </c>
      <c r="D5" s="15">
        <v>81</v>
      </c>
      <c r="E5" s="17">
        <v>20</v>
      </c>
      <c r="F5" s="21">
        <v>19</v>
      </c>
    </row>
    <row r="6" spans="1:6" ht="51.75" thickBot="1">
      <c r="A6" s="15">
        <v>115919</v>
      </c>
      <c r="B6" s="16" t="s">
        <v>60</v>
      </c>
      <c r="C6" s="15">
        <v>144</v>
      </c>
      <c r="D6" s="15">
        <v>144</v>
      </c>
      <c r="E6" s="17">
        <v>20</v>
      </c>
      <c r="F6" s="21">
        <v>19</v>
      </c>
    </row>
    <row r="7" spans="1:6" ht="72" thickBot="1">
      <c r="A7" s="15">
        <v>115919</v>
      </c>
      <c r="B7" s="18" t="s">
        <v>61</v>
      </c>
      <c r="C7" s="15">
        <v>144</v>
      </c>
      <c r="D7" s="15">
        <v>144</v>
      </c>
      <c r="E7" s="17">
        <v>20</v>
      </c>
      <c r="F7" s="21">
        <v>19</v>
      </c>
    </row>
    <row r="8" spans="1:6" ht="86.25" thickBot="1">
      <c r="A8" s="15">
        <v>119534</v>
      </c>
      <c r="B8" s="18" t="s">
        <v>62</v>
      </c>
      <c r="C8" s="15">
        <v>49</v>
      </c>
      <c r="D8" s="15">
        <v>49</v>
      </c>
      <c r="E8" s="17">
        <v>20</v>
      </c>
      <c r="F8" s="21">
        <v>19</v>
      </c>
    </row>
    <row r="9" spans="1:6" ht="39" thickBot="1">
      <c r="A9" s="15">
        <v>127891</v>
      </c>
      <c r="B9" s="16" t="s">
        <v>63</v>
      </c>
      <c r="C9" s="15">
        <v>1</v>
      </c>
      <c r="D9" s="15">
        <v>1</v>
      </c>
      <c r="E9" s="17">
        <v>20</v>
      </c>
      <c r="F9" s="21">
        <v>19</v>
      </c>
    </row>
    <row r="10" spans="1:6" ht="64.5" thickBot="1">
      <c r="A10" s="15">
        <v>135216</v>
      </c>
      <c r="B10" s="16" t="s">
        <v>64</v>
      </c>
      <c r="C10" s="15">
        <v>36</v>
      </c>
      <c r="D10" s="15">
        <v>36</v>
      </c>
      <c r="E10" s="17">
        <v>20</v>
      </c>
      <c r="F10" s="21">
        <v>19</v>
      </c>
    </row>
    <row r="11" spans="1:6" ht="72" thickBot="1">
      <c r="A11" s="15">
        <v>135216</v>
      </c>
      <c r="B11" s="18" t="s">
        <v>65</v>
      </c>
      <c r="C11" s="15">
        <v>36</v>
      </c>
      <c r="D11" s="15">
        <v>36</v>
      </c>
      <c r="E11" s="17">
        <v>20</v>
      </c>
      <c r="F11" s="21">
        <v>19</v>
      </c>
    </row>
    <row r="12" spans="1:6" ht="57.75" thickBot="1">
      <c r="A12" s="15">
        <v>150006</v>
      </c>
      <c r="B12" s="18" t="s">
        <v>66</v>
      </c>
      <c r="C12" s="15">
        <v>8</v>
      </c>
      <c r="D12" s="15">
        <v>8</v>
      </c>
      <c r="E12" s="17">
        <v>20</v>
      </c>
      <c r="F12" s="21">
        <v>19</v>
      </c>
    </row>
    <row r="13" spans="1:6" ht="57.75" thickBot="1">
      <c r="A13" s="15">
        <v>150836</v>
      </c>
      <c r="B13" s="18" t="s">
        <v>67</v>
      </c>
      <c r="C13" s="15">
        <v>4</v>
      </c>
      <c r="D13" s="15">
        <v>4</v>
      </c>
      <c r="E13" s="17">
        <v>20</v>
      </c>
      <c r="F13" s="21">
        <v>19</v>
      </c>
    </row>
    <row r="14" spans="1:6" ht="72" thickBot="1">
      <c r="A14" s="15">
        <v>151902</v>
      </c>
      <c r="B14" s="18" t="s">
        <v>68</v>
      </c>
      <c r="C14" s="15">
        <v>36</v>
      </c>
      <c r="D14" s="15">
        <v>36</v>
      </c>
      <c r="E14" s="17">
        <v>20</v>
      </c>
      <c r="F14" s="21">
        <v>19</v>
      </c>
    </row>
    <row r="15" spans="1:6" ht="57.75" thickBot="1">
      <c r="A15" s="15">
        <v>152403</v>
      </c>
      <c r="B15" s="18" t="s">
        <v>69</v>
      </c>
      <c r="C15" s="15">
        <v>3</v>
      </c>
      <c r="D15" s="15">
        <v>50</v>
      </c>
      <c r="E15" s="17">
        <v>20</v>
      </c>
      <c r="F15" s="21">
        <v>19</v>
      </c>
    </row>
    <row r="16" spans="1:6" ht="86.25" thickBot="1">
      <c r="A16" s="15">
        <v>152403</v>
      </c>
      <c r="B16" s="18" t="s">
        <v>70</v>
      </c>
      <c r="C16" s="15">
        <v>3</v>
      </c>
      <c r="D16" s="15">
        <v>3</v>
      </c>
      <c r="E16" s="17">
        <v>20</v>
      </c>
      <c r="F16" s="21">
        <v>19</v>
      </c>
    </row>
    <row r="17" spans="1:6" ht="64.5" thickBot="1">
      <c r="A17" s="15">
        <v>152484</v>
      </c>
      <c r="B17" s="16" t="s">
        <v>71</v>
      </c>
      <c r="C17" s="15">
        <v>36</v>
      </c>
      <c r="D17" s="15">
        <v>36</v>
      </c>
      <c r="E17" s="17">
        <v>20</v>
      </c>
      <c r="F17" s="21">
        <v>19</v>
      </c>
    </row>
    <row r="18" spans="1:6" ht="51.75" thickBot="1">
      <c r="A18" s="15">
        <v>152539</v>
      </c>
      <c r="B18" s="16" t="s">
        <v>72</v>
      </c>
      <c r="C18" s="15">
        <v>36</v>
      </c>
      <c r="D18" s="15">
        <v>36</v>
      </c>
      <c r="E18" s="17">
        <v>20</v>
      </c>
      <c r="F18" s="21">
        <v>19</v>
      </c>
    </row>
    <row r="19" spans="1:6" ht="57.75" thickBot="1">
      <c r="A19" s="15">
        <v>152539</v>
      </c>
      <c r="B19" s="18" t="s">
        <v>73</v>
      </c>
      <c r="C19" s="15">
        <v>36</v>
      </c>
      <c r="D19" s="15">
        <v>36</v>
      </c>
      <c r="E19" s="17">
        <v>20</v>
      </c>
      <c r="F19" s="21">
        <v>19</v>
      </c>
    </row>
    <row r="20" spans="1:6" ht="51.75" thickBot="1">
      <c r="A20" s="15">
        <v>152562</v>
      </c>
      <c r="B20" s="16" t="s">
        <v>74</v>
      </c>
      <c r="C20" s="15">
        <v>72</v>
      </c>
      <c r="D20" s="15">
        <v>72</v>
      </c>
      <c r="E20" s="17">
        <v>20</v>
      </c>
      <c r="F20" s="21">
        <v>19</v>
      </c>
    </row>
    <row r="21" spans="1:6" ht="57.75" thickBot="1">
      <c r="A21" s="15">
        <v>152755</v>
      </c>
      <c r="B21" s="18" t="s">
        <v>75</v>
      </c>
      <c r="C21" s="15">
        <v>12</v>
      </c>
      <c r="D21" s="15">
        <v>12</v>
      </c>
      <c r="E21" s="17">
        <v>20</v>
      </c>
      <c r="F21" s="21">
        <v>19</v>
      </c>
    </row>
    <row r="22" spans="1:6" ht="114.75" thickBot="1">
      <c r="A22" s="15">
        <v>154933</v>
      </c>
      <c r="B22" s="18" t="s">
        <v>76</v>
      </c>
      <c r="C22" s="15">
        <v>84</v>
      </c>
      <c r="D22" s="15">
        <v>84</v>
      </c>
      <c r="E22" s="17">
        <v>20</v>
      </c>
      <c r="F22" s="21">
        <v>19</v>
      </c>
    </row>
    <row r="23" spans="1:6" ht="51.75" thickBot="1">
      <c r="A23" s="15">
        <v>177766</v>
      </c>
      <c r="B23" s="16" t="s">
        <v>77</v>
      </c>
      <c r="C23" s="15">
        <v>36</v>
      </c>
      <c r="D23" s="15">
        <v>36</v>
      </c>
      <c r="E23" s="17">
        <v>20</v>
      </c>
      <c r="F23" s="21">
        <v>19</v>
      </c>
    </row>
    <row r="24" spans="1:6" ht="86.25" thickBot="1">
      <c r="A24" s="15">
        <v>177769</v>
      </c>
      <c r="B24" s="18" t="s">
        <v>78</v>
      </c>
      <c r="C24" s="15">
        <v>144</v>
      </c>
      <c r="D24" s="15">
        <v>144</v>
      </c>
      <c r="E24" s="17">
        <v>20</v>
      </c>
      <c r="F24" s="21">
        <v>19</v>
      </c>
    </row>
    <row r="25" spans="1:6" ht="51.75" thickBot="1">
      <c r="A25" s="15">
        <v>177774</v>
      </c>
      <c r="B25" s="16" t="s">
        <v>79</v>
      </c>
      <c r="C25" s="15">
        <v>72</v>
      </c>
      <c r="D25" s="15">
        <v>72</v>
      </c>
      <c r="E25" s="17">
        <v>20</v>
      </c>
      <c r="F25" s="21">
        <v>19</v>
      </c>
    </row>
    <row r="26" spans="1:6" ht="51.75" thickBot="1">
      <c r="A26" s="15">
        <v>177784</v>
      </c>
      <c r="B26" s="16" t="s">
        <v>80</v>
      </c>
      <c r="C26" s="15">
        <v>49</v>
      </c>
      <c r="D26" s="15">
        <v>49</v>
      </c>
      <c r="E26" s="17">
        <v>20</v>
      </c>
      <c r="F26" s="21">
        <v>19</v>
      </c>
    </row>
    <row r="27" spans="1:6" ht="72" thickBot="1">
      <c r="A27" s="15">
        <v>177785</v>
      </c>
      <c r="B27" s="18" t="s">
        <v>81</v>
      </c>
      <c r="C27" s="15">
        <v>42</v>
      </c>
      <c r="D27" s="15">
        <v>42</v>
      </c>
      <c r="E27" s="17">
        <v>20</v>
      </c>
      <c r="F27" s="21">
        <v>19</v>
      </c>
    </row>
    <row r="28" spans="1:6" ht="26.25" thickBot="1">
      <c r="A28" s="15">
        <v>177790</v>
      </c>
      <c r="B28" s="16" t="s">
        <v>82</v>
      </c>
      <c r="C28" s="15">
        <v>36</v>
      </c>
      <c r="D28" s="15">
        <v>36</v>
      </c>
      <c r="E28" s="17">
        <v>20</v>
      </c>
      <c r="F28" s="21">
        <v>19</v>
      </c>
    </row>
    <row r="29" spans="1:6" ht="86.25" thickBot="1">
      <c r="A29" s="15">
        <v>177792</v>
      </c>
      <c r="B29" s="18" t="s">
        <v>83</v>
      </c>
      <c r="C29" s="15">
        <v>90</v>
      </c>
      <c r="D29" s="15">
        <v>90</v>
      </c>
      <c r="E29" s="17">
        <v>20</v>
      </c>
      <c r="F29" s="21">
        <v>19</v>
      </c>
    </row>
    <row r="30" spans="1:6" ht="39" thickBot="1">
      <c r="A30" s="15">
        <v>177803</v>
      </c>
      <c r="B30" s="16" t="s">
        <v>84</v>
      </c>
      <c r="C30" s="15">
        <v>81</v>
      </c>
      <c r="D30" s="15">
        <v>81</v>
      </c>
      <c r="E30" s="17">
        <v>20</v>
      </c>
      <c r="F30" s="21">
        <v>19</v>
      </c>
    </row>
    <row r="31" spans="1:6" ht="51.75" thickBot="1">
      <c r="A31" s="15">
        <v>177804</v>
      </c>
      <c r="B31" s="16" t="s">
        <v>85</v>
      </c>
      <c r="C31" s="15">
        <v>64</v>
      </c>
      <c r="D31" s="15">
        <v>64</v>
      </c>
      <c r="E31" s="17">
        <v>20</v>
      </c>
      <c r="F31" s="21">
        <v>19</v>
      </c>
    </row>
    <row r="32" spans="1:6" ht="72" thickBot="1">
      <c r="A32" s="15">
        <v>177809</v>
      </c>
      <c r="B32" s="18" t="s">
        <v>86</v>
      </c>
      <c r="C32" s="15">
        <v>36</v>
      </c>
      <c r="D32" s="15">
        <v>36</v>
      </c>
      <c r="E32" s="17">
        <v>20</v>
      </c>
      <c r="F32" s="21">
        <v>19</v>
      </c>
    </row>
    <row r="33" spans="1:6" ht="57.75" thickBot="1">
      <c r="A33" s="15">
        <v>177811</v>
      </c>
      <c r="B33" s="18" t="s">
        <v>590</v>
      </c>
      <c r="C33" s="15">
        <v>36</v>
      </c>
      <c r="D33" s="15">
        <v>36</v>
      </c>
      <c r="E33" s="17">
        <v>20</v>
      </c>
      <c r="F33" s="21">
        <v>19</v>
      </c>
    </row>
    <row r="34" spans="1:6" ht="39" thickBot="1">
      <c r="A34" s="15">
        <v>185252</v>
      </c>
      <c r="B34" s="16" t="s">
        <v>87</v>
      </c>
      <c r="C34" s="15">
        <v>42</v>
      </c>
      <c r="D34" s="15">
        <v>42</v>
      </c>
      <c r="E34" s="17">
        <v>20</v>
      </c>
      <c r="F34" s="21">
        <v>19</v>
      </c>
    </row>
    <row r="35" spans="1:6" ht="51.75" thickBot="1">
      <c r="A35" s="15">
        <v>185258</v>
      </c>
      <c r="B35" s="16" t="s">
        <v>88</v>
      </c>
      <c r="C35" s="15">
        <v>81</v>
      </c>
      <c r="D35" s="15">
        <v>81</v>
      </c>
      <c r="E35" s="17">
        <v>20</v>
      </c>
      <c r="F35" s="21">
        <v>19</v>
      </c>
    </row>
    <row r="36" spans="1:6" ht="39" thickBot="1">
      <c r="A36" s="15">
        <v>185264</v>
      </c>
      <c r="B36" s="16" t="s">
        <v>89</v>
      </c>
      <c r="C36" s="15">
        <v>81</v>
      </c>
      <c r="D36" s="15">
        <v>81</v>
      </c>
      <c r="E36" s="17">
        <v>20</v>
      </c>
      <c r="F36" s="21">
        <v>19</v>
      </c>
    </row>
    <row r="37" spans="1:6" ht="39" thickBot="1">
      <c r="A37" s="15">
        <v>185323</v>
      </c>
      <c r="B37" s="16" t="s">
        <v>90</v>
      </c>
      <c r="C37" s="15">
        <v>42</v>
      </c>
      <c r="D37" s="15">
        <v>42</v>
      </c>
      <c r="E37" s="17">
        <v>20</v>
      </c>
      <c r="F37" s="21">
        <v>19</v>
      </c>
    </row>
    <row r="38" spans="1:6" ht="57.75" thickBot="1">
      <c r="A38" s="15">
        <v>186180</v>
      </c>
      <c r="B38" s="18" t="s">
        <v>91</v>
      </c>
      <c r="C38" s="15">
        <v>81</v>
      </c>
      <c r="D38" s="15">
        <v>81</v>
      </c>
      <c r="E38" s="17">
        <v>20</v>
      </c>
      <c r="F38" s="21">
        <v>19</v>
      </c>
    </row>
    <row r="39" spans="1:6" ht="57.75" thickBot="1">
      <c r="A39" s="15">
        <v>188521</v>
      </c>
      <c r="B39" s="18" t="s">
        <v>92</v>
      </c>
      <c r="C39" s="15">
        <v>80</v>
      </c>
      <c r="D39" s="15">
        <v>80</v>
      </c>
      <c r="E39" s="17">
        <v>20</v>
      </c>
      <c r="F39" s="21">
        <v>19</v>
      </c>
    </row>
    <row r="40" spans="1:6" ht="57.75" thickBot="1">
      <c r="A40" s="15">
        <v>188523</v>
      </c>
      <c r="B40" s="18" t="s">
        <v>93</v>
      </c>
      <c r="C40" s="15">
        <v>96</v>
      </c>
      <c r="D40" s="15">
        <v>96</v>
      </c>
      <c r="E40" s="17">
        <v>20</v>
      </c>
      <c r="F40" s="21">
        <v>19</v>
      </c>
    </row>
    <row r="41" spans="1:6" ht="57.75" thickBot="1">
      <c r="A41" s="15">
        <v>189217</v>
      </c>
      <c r="B41" s="18" t="s">
        <v>169</v>
      </c>
      <c r="C41" s="15">
        <v>64</v>
      </c>
      <c r="D41" s="15">
        <v>64</v>
      </c>
      <c r="E41" s="17">
        <v>20</v>
      </c>
      <c r="F41" s="21">
        <v>19</v>
      </c>
    </row>
    <row r="42" spans="1:6" ht="51.75" thickBot="1">
      <c r="A42" s="15">
        <v>189219</v>
      </c>
      <c r="B42" s="16" t="s">
        <v>170</v>
      </c>
      <c r="C42" s="15">
        <v>81</v>
      </c>
      <c r="D42" s="15">
        <v>81</v>
      </c>
      <c r="E42" s="17">
        <v>20</v>
      </c>
      <c r="F42" s="21">
        <v>19</v>
      </c>
    </row>
    <row r="43" spans="1:6" ht="51.75" thickBot="1">
      <c r="A43" s="15">
        <v>189221</v>
      </c>
      <c r="B43" s="16" t="s">
        <v>171</v>
      </c>
      <c r="C43" s="15">
        <v>100</v>
      </c>
      <c r="D43" s="15">
        <v>100</v>
      </c>
      <c r="E43" s="17">
        <v>20</v>
      </c>
      <c r="F43" s="21">
        <v>19</v>
      </c>
    </row>
    <row r="44" spans="1:6" ht="39" thickBot="1">
      <c r="A44" s="15">
        <v>189222</v>
      </c>
      <c r="B44" s="16" t="s">
        <v>172</v>
      </c>
      <c r="C44" s="15">
        <v>42</v>
      </c>
      <c r="D44" s="15">
        <v>42</v>
      </c>
      <c r="E44" s="17">
        <v>20</v>
      </c>
      <c r="F44" s="21">
        <v>19</v>
      </c>
    </row>
    <row r="45" spans="1:6" ht="72" thickBot="1">
      <c r="A45" s="15">
        <v>189222</v>
      </c>
      <c r="B45" s="18" t="s">
        <v>173</v>
      </c>
      <c r="C45" s="15">
        <v>42</v>
      </c>
      <c r="D45" s="15">
        <v>42</v>
      </c>
      <c r="E45" s="17">
        <v>20</v>
      </c>
      <c r="F45" s="21">
        <v>19</v>
      </c>
    </row>
    <row r="46" spans="1:6" ht="57.75" thickBot="1">
      <c r="A46" s="15">
        <v>191528</v>
      </c>
      <c r="B46" s="18" t="s">
        <v>174</v>
      </c>
      <c r="C46" s="15">
        <v>81</v>
      </c>
      <c r="D46" s="15">
        <v>81</v>
      </c>
      <c r="E46" s="17">
        <v>20</v>
      </c>
      <c r="F46" s="21">
        <v>19</v>
      </c>
    </row>
    <row r="47" spans="1:6" ht="72" thickBot="1">
      <c r="A47" s="15">
        <v>191848</v>
      </c>
      <c r="B47" s="18" t="s">
        <v>175</v>
      </c>
      <c r="C47" s="15">
        <v>36</v>
      </c>
      <c r="D47" s="15">
        <v>36</v>
      </c>
      <c r="E47" s="17">
        <v>20</v>
      </c>
      <c r="F47" s="21">
        <v>19</v>
      </c>
    </row>
    <row r="48" spans="1:6" ht="51.75" thickBot="1">
      <c r="A48" s="15">
        <v>191925</v>
      </c>
      <c r="B48" s="16" t="s">
        <v>176</v>
      </c>
      <c r="C48" s="15">
        <v>9</v>
      </c>
      <c r="D48" s="15">
        <v>9</v>
      </c>
      <c r="E48" s="17">
        <v>20</v>
      </c>
      <c r="F48" s="21">
        <v>19</v>
      </c>
    </row>
    <row r="49" spans="1:6" ht="51.75" thickBot="1">
      <c r="A49" s="15">
        <v>191927</v>
      </c>
      <c r="B49" s="16" t="s">
        <v>177</v>
      </c>
      <c r="C49" s="15">
        <v>16</v>
      </c>
      <c r="D49" s="15">
        <v>16</v>
      </c>
      <c r="E49" s="17">
        <v>20</v>
      </c>
      <c r="F49" s="21">
        <v>19</v>
      </c>
    </row>
    <row r="50" spans="1:6" ht="51.75" thickBot="1">
      <c r="A50" s="15">
        <v>192989</v>
      </c>
      <c r="B50" s="16" t="s">
        <v>178</v>
      </c>
      <c r="C50" s="15">
        <v>81</v>
      </c>
      <c r="D50" s="15">
        <v>81</v>
      </c>
      <c r="E50" s="17">
        <v>20</v>
      </c>
      <c r="F50" s="21">
        <v>19</v>
      </c>
    </row>
    <row r="51" spans="1:6" ht="86.25" thickBot="1">
      <c r="A51" s="15">
        <v>192993</v>
      </c>
      <c r="B51" s="18" t="s">
        <v>179</v>
      </c>
      <c r="C51" s="15">
        <v>36</v>
      </c>
      <c r="D51" s="15">
        <v>36</v>
      </c>
      <c r="E51" s="17">
        <v>20</v>
      </c>
      <c r="F51" s="21">
        <v>19</v>
      </c>
    </row>
    <row r="52" spans="1:6" ht="57.75" thickBot="1">
      <c r="A52" s="15">
        <v>193479</v>
      </c>
      <c r="B52" s="18" t="s">
        <v>180</v>
      </c>
      <c r="C52" s="15">
        <v>81</v>
      </c>
      <c r="D52" s="15">
        <v>81</v>
      </c>
      <c r="E52" s="17">
        <v>20</v>
      </c>
      <c r="F52" s="21">
        <v>19</v>
      </c>
    </row>
    <row r="53" spans="1:6" ht="43.5" thickBot="1">
      <c r="A53" s="15">
        <v>194088</v>
      </c>
      <c r="B53" s="18" t="s">
        <v>181</v>
      </c>
      <c r="C53" s="15">
        <v>8</v>
      </c>
      <c r="D53" s="15">
        <v>8</v>
      </c>
      <c r="E53" s="17">
        <v>20</v>
      </c>
      <c r="F53" s="21">
        <v>19</v>
      </c>
    </row>
    <row r="54" spans="1:6" ht="51.75" thickBot="1">
      <c r="A54" s="15">
        <v>198819</v>
      </c>
      <c r="B54" s="16" t="s">
        <v>182</v>
      </c>
      <c r="C54" s="15">
        <v>81</v>
      </c>
      <c r="D54" s="15">
        <v>81</v>
      </c>
      <c r="E54" s="17">
        <v>20</v>
      </c>
      <c r="F54" s="21">
        <v>19</v>
      </c>
    </row>
    <row r="55" spans="1:6" ht="26.25" thickBot="1">
      <c r="A55" s="15">
        <v>199092</v>
      </c>
      <c r="B55" s="16" t="s">
        <v>82</v>
      </c>
      <c r="C55" s="15">
        <v>72</v>
      </c>
      <c r="D55" s="15">
        <v>72</v>
      </c>
      <c r="E55" s="17">
        <v>20</v>
      </c>
      <c r="F55" s="21">
        <v>19</v>
      </c>
    </row>
    <row r="56" spans="1:6" ht="39" thickBot="1">
      <c r="A56" s="15">
        <v>199097</v>
      </c>
      <c r="B56" s="16" t="s">
        <v>183</v>
      </c>
      <c r="C56" s="15">
        <v>64</v>
      </c>
      <c r="D56" s="15">
        <v>64</v>
      </c>
      <c r="E56" s="17">
        <v>20</v>
      </c>
      <c r="F56" s="21">
        <v>19</v>
      </c>
    </row>
    <row r="57" spans="1:6" ht="72" thickBot="1">
      <c r="A57" s="15">
        <v>199161</v>
      </c>
      <c r="B57" s="18" t="s">
        <v>184</v>
      </c>
      <c r="C57" s="15">
        <v>36</v>
      </c>
      <c r="D57" s="15">
        <v>36</v>
      </c>
      <c r="E57" s="17">
        <v>20</v>
      </c>
      <c r="F57" s="21">
        <v>19</v>
      </c>
    </row>
    <row r="58" spans="1:6" ht="72" thickBot="1">
      <c r="A58" s="15">
        <v>199172</v>
      </c>
      <c r="B58" s="18" t="s">
        <v>185</v>
      </c>
      <c r="C58" s="15">
        <v>64</v>
      </c>
      <c r="D58" s="15">
        <v>64</v>
      </c>
      <c r="E58" s="17">
        <v>20</v>
      </c>
      <c r="F58" s="21">
        <v>19</v>
      </c>
    </row>
    <row r="59" spans="1:6" ht="72" thickBot="1">
      <c r="A59" s="15">
        <v>199435</v>
      </c>
      <c r="B59" s="18" t="s">
        <v>186</v>
      </c>
      <c r="C59" s="15">
        <v>81</v>
      </c>
      <c r="D59" s="15">
        <v>81</v>
      </c>
      <c r="E59" s="17">
        <v>20</v>
      </c>
      <c r="F59" s="21">
        <v>19</v>
      </c>
    </row>
    <row r="60" spans="1:6" ht="51.75" thickBot="1">
      <c r="A60" s="15">
        <v>199440</v>
      </c>
      <c r="B60" s="16" t="s">
        <v>187</v>
      </c>
      <c r="C60" s="15">
        <v>144</v>
      </c>
      <c r="D60" s="15">
        <v>144</v>
      </c>
      <c r="E60" s="17">
        <v>20</v>
      </c>
      <c r="F60" s="21">
        <v>19</v>
      </c>
    </row>
    <row r="61" spans="1:6" ht="57.75" thickBot="1">
      <c r="A61" s="15">
        <v>199440</v>
      </c>
      <c r="B61" s="18" t="s">
        <v>188</v>
      </c>
      <c r="C61" s="15">
        <v>144</v>
      </c>
      <c r="D61" s="15">
        <v>144</v>
      </c>
      <c r="E61" s="17">
        <v>20</v>
      </c>
      <c r="F61" s="21">
        <v>19</v>
      </c>
    </row>
    <row r="62" spans="1:6" ht="39" thickBot="1">
      <c r="A62" s="15">
        <v>199446</v>
      </c>
      <c r="B62" s="16" t="s">
        <v>189</v>
      </c>
      <c r="C62" s="15">
        <v>81</v>
      </c>
      <c r="D62" s="15">
        <v>81</v>
      </c>
      <c r="E62" s="17">
        <v>20</v>
      </c>
      <c r="F62" s="21">
        <v>19</v>
      </c>
    </row>
    <row r="63" spans="1:6" ht="86.25" thickBot="1">
      <c r="A63" s="15">
        <v>199446</v>
      </c>
      <c r="B63" s="18" t="s">
        <v>190</v>
      </c>
      <c r="C63" s="15">
        <v>81</v>
      </c>
      <c r="D63" s="15">
        <v>81</v>
      </c>
      <c r="E63" s="17">
        <v>20</v>
      </c>
      <c r="F63" s="21">
        <v>19</v>
      </c>
    </row>
    <row r="64" spans="1:6" ht="57.75" thickBot="1">
      <c r="A64" s="15">
        <v>199459</v>
      </c>
      <c r="B64" s="18" t="s">
        <v>191</v>
      </c>
      <c r="C64" s="15">
        <v>72</v>
      </c>
      <c r="D64" s="15">
        <v>72</v>
      </c>
      <c r="E64" s="17">
        <v>20</v>
      </c>
      <c r="F64" s="21">
        <v>19</v>
      </c>
    </row>
    <row r="65" spans="1:6" ht="51.75" thickBot="1">
      <c r="A65" s="15">
        <v>199474</v>
      </c>
      <c r="B65" s="16" t="s">
        <v>192</v>
      </c>
      <c r="C65" s="15">
        <v>144</v>
      </c>
      <c r="D65" s="15">
        <v>144</v>
      </c>
      <c r="E65" s="17">
        <v>20</v>
      </c>
      <c r="F65" s="21">
        <v>19</v>
      </c>
    </row>
    <row r="66" spans="1:6" ht="64.5" thickBot="1">
      <c r="A66" s="15">
        <v>199534</v>
      </c>
      <c r="B66" s="16" t="s">
        <v>193</v>
      </c>
      <c r="C66" s="15">
        <v>49</v>
      </c>
      <c r="D66" s="15">
        <v>49</v>
      </c>
      <c r="E66" s="17">
        <v>20</v>
      </c>
      <c r="F66" s="21">
        <v>19</v>
      </c>
    </row>
    <row r="67" spans="1:6" ht="39" thickBot="1">
      <c r="A67" s="15">
        <v>199539</v>
      </c>
      <c r="B67" s="16" t="s">
        <v>194</v>
      </c>
      <c r="C67" s="15">
        <v>36</v>
      </c>
      <c r="D67" s="15">
        <v>36</v>
      </c>
      <c r="E67" s="17">
        <v>20</v>
      </c>
      <c r="F67" s="21">
        <v>19</v>
      </c>
    </row>
    <row r="68" spans="1:6" ht="51.75" thickBot="1">
      <c r="A68" s="15">
        <v>199584</v>
      </c>
      <c r="B68" s="16" t="s">
        <v>195</v>
      </c>
      <c r="C68" s="15">
        <v>81</v>
      </c>
      <c r="D68" s="15">
        <v>81</v>
      </c>
      <c r="E68" s="17">
        <v>20</v>
      </c>
      <c r="F68" s="21">
        <v>19</v>
      </c>
    </row>
    <row r="69" spans="1:6" ht="51.75" thickBot="1">
      <c r="A69" s="15">
        <v>199955</v>
      </c>
      <c r="B69" s="16" t="s">
        <v>196</v>
      </c>
      <c r="C69" s="15">
        <v>36</v>
      </c>
      <c r="D69" s="15">
        <v>36</v>
      </c>
      <c r="E69" s="17">
        <v>20</v>
      </c>
      <c r="F69" s="21">
        <v>19</v>
      </c>
    </row>
    <row r="70" spans="1:6" ht="86.25" thickBot="1">
      <c r="A70" s="15">
        <v>203894</v>
      </c>
      <c r="B70" s="18" t="s">
        <v>197</v>
      </c>
      <c r="C70" s="15">
        <v>1</v>
      </c>
      <c r="D70" s="15">
        <v>1</v>
      </c>
      <c r="E70" s="19">
        <v>16</v>
      </c>
      <c r="F70" s="21">
        <v>15</v>
      </c>
    </row>
    <row r="71" spans="1:6" ht="72" thickBot="1">
      <c r="A71" s="15">
        <v>205544</v>
      </c>
      <c r="B71" s="18" t="s">
        <v>198</v>
      </c>
      <c r="C71" s="15">
        <v>1</v>
      </c>
      <c r="D71" s="15">
        <v>1</v>
      </c>
      <c r="E71" s="20">
        <v>200</v>
      </c>
      <c r="F71" s="21">
        <v>199</v>
      </c>
    </row>
    <row r="72" spans="1:6" ht="57.75" thickBot="1">
      <c r="A72" s="15">
        <v>213937</v>
      </c>
      <c r="B72" s="18" t="s">
        <v>199</v>
      </c>
      <c r="C72" s="15">
        <v>81</v>
      </c>
      <c r="D72" s="15">
        <v>81</v>
      </c>
      <c r="E72" s="17">
        <v>20</v>
      </c>
      <c r="F72" s="21">
        <v>19</v>
      </c>
    </row>
    <row r="73" spans="1:6" ht="39" thickBot="1">
      <c r="A73" s="15">
        <v>218780</v>
      </c>
      <c r="B73" s="16" t="s">
        <v>200</v>
      </c>
      <c r="C73" s="15">
        <v>49</v>
      </c>
      <c r="D73" s="15">
        <v>49</v>
      </c>
      <c r="E73" s="17">
        <v>20</v>
      </c>
      <c r="F73" s="21">
        <v>19</v>
      </c>
    </row>
    <row r="74" spans="1:6" ht="51.75" thickBot="1">
      <c r="A74" s="15">
        <v>226209</v>
      </c>
      <c r="B74" s="16" t="s">
        <v>201</v>
      </c>
      <c r="C74" s="15">
        <v>36</v>
      </c>
      <c r="D74" s="15">
        <v>36</v>
      </c>
      <c r="E74" s="17">
        <v>20</v>
      </c>
      <c r="F74" s="21">
        <v>19</v>
      </c>
    </row>
    <row r="75" spans="1:6" ht="57.75" thickBot="1">
      <c r="A75" s="15">
        <v>249024</v>
      </c>
      <c r="B75" s="18" t="s">
        <v>202</v>
      </c>
      <c r="C75" s="15">
        <v>12</v>
      </c>
      <c r="D75" s="15">
        <v>12</v>
      </c>
      <c r="E75" s="17">
        <v>20</v>
      </c>
      <c r="F75" s="21">
        <v>19</v>
      </c>
    </row>
    <row r="76" spans="1:6" ht="39" thickBot="1">
      <c r="A76" s="15">
        <v>255276</v>
      </c>
      <c r="B76" s="16" t="s">
        <v>203</v>
      </c>
      <c r="C76" s="15">
        <v>1</v>
      </c>
      <c r="D76" s="15">
        <v>1</v>
      </c>
      <c r="E76" s="19">
        <v>18</v>
      </c>
      <c r="F76" s="21">
        <v>17</v>
      </c>
    </row>
    <row r="77" spans="1:6" ht="57.75" thickBot="1">
      <c r="A77" s="15">
        <v>312433</v>
      </c>
      <c r="B77" s="18" t="s">
        <v>204</v>
      </c>
      <c r="C77" s="15">
        <v>12</v>
      </c>
      <c r="D77" s="15">
        <v>12</v>
      </c>
      <c r="E77" s="17">
        <v>20</v>
      </c>
      <c r="F77" s="21">
        <v>19</v>
      </c>
    </row>
    <row r="78" spans="1:6" ht="72" thickBot="1">
      <c r="A78" s="15">
        <v>312439</v>
      </c>
      <c r="B78" s="18" t="s">
        <v>205</v>
      </c>
      <c r="C78" s="15">
        <v>12</v>
      </c>
      <c r="D78" s="15">
        <v>12</v>
      </c>
      <c r="E78" s="17">
        <v>20</v>
      </c>
      <c r="F78" s="21">
        <v>19</v>
      </c>
    </row>
    <row r="79" spans="1:6" ht="72" thickBot="1">
      <c r="A79" s="15">
        <v>313127</v>
      </c>
      <c r="B79" s="18" t="s">
        <v>206</v>
      </c>
      <c r="C79" s="15">
        <v>6</v>
      </c>
      <c r="D79" s="15">
        <v>6</v>
      </c>
      <c r="E79" s="17">
        <v>20</v>
      </c>
      <c r="F79" s="21">
        <v>19</v>
      </c>
    </row>
    <row r="80" spans="1:6" ht="86.25" thickBot="1">
      <c r="A80" s="15">
        <v>313657</v>
      </c>
      <c r="B80" s="18" t="s">
        <v>207</v>
      </c>
      <c r="C80" s="15">
        <v>6</v>
      </c>
      <c r="D80" s="15">
        <v>6</v>
      </c>
      <c r="E80" s="17">
        <v>20</v>
      </c>
      <c r="F80" s="21">
        <v>19</v>
      </c>
    </row>
    <row r="81" spans="1:6" ht="51.75" thickBot="1">
      <c r="A81" s="15">
        <v>334738</v>
      </c>
      <c r="B81" s="16" t="s">
        <v>208</v>
      </c>
      <c r="C81" s="15">
        <v>1</v>
      </c>
      <c r="D81" s="15">
        <v>1</v>
      </c>
      <c r="E81" s="19">
        <v>43</v>
      </c>
      <c r="F81" s="21">
        <v>42</v>
      </c>
    </row>
    <row r="82" spans="1:6" ht="39" thickBot="1">
      <c r="A82" s="15">
        <v>334740</v>
      </c>
      <c r="B82" s="16" t="s">
        <v>209</v>
      </c>
      <c r="C82" s="15">
        <v>1</v>
      </c>
      <c r="D82" s="15">
        <v>1</v>
      </c>
      <c r="E82" s="19">
        <v>2</v>
      </c>
      <c r="F82" s="21">
        <v>1</v>
      </c>
    </row>
    <row r="83" spans="1:6" ht="26.25" thickBot="1">
      <c r="A83" s="15">
        <v>338499</v>
      </c>
      <c r="B83" s="16" t="s">
        <v>210</v>
      </c>
      <c r="C83" s="15">
        <v>25</v>
      </c>
      <c r="D83" s="15">
        <v>25</v>
      </c>
      <c r="E83" s="20">
        <v>25</v>
      </c>
      <c r="F83" s="21">
        <v>24</v>
      </c>
    </row>
    <row r="84" spans="1:6" ht="51.75" thickBot="1">
      <c r="A84" s="15">
        <v>362647</v>
      </c>
      <c r="B84" s="16" t="s">
        <v>211</v>
      </c>
      <c r="C84" s="15">
        <v>1</v>
      </c>
      <c r="D84" s="15">
        <v>1</v>
      </c>
      <c r="E84" s="19">
        <v>1</v>
      </c>
      <c r="F84" s="21">
        <v>0</v>
      </c>
    </row>
    <row r="85" spans="1:6" ht="26.25" thickBot="1">
      <c r="A85" s="15">
        <v>365756</v>
      </c>
      <c r="B85" s="16" t="s">
        <v>212</v>
      </c>
      <c r="C85" s="15">
        <v>1</v>
      </c>
      <c r="D85" s="15">
        <v>1</v>
      </c>
      <c r="E85" s="19">
        <v>112</v>
      </c>
      <c r="F85" s="21">
        <v>111</v>
      </c>
    </row>
    <row r="86" spans="1:6" ht="64.5" thickBot="1">
      <c r="A86" s="15">
        <v>365762</v>
      </c>
      <c r="B86" s="16" t="s">
        <v>213</v>
      </c>
      <c r="C86" s="15">
        <v>1</v>
      </c>
      <c r="D86" s="15">
        <v>1</v>
      </c>
      <c r="E86" s="19">
        <v>62</v>
      </c>
      <c r="F86" s="21">
        <v>61</v>
      </c>
    </row>
    <row r="87" spans="1:6" ht="72" thickBot="1">
      <c r="A87" s="15">
        <v>383095</v>
      </c>
      <c r="B87" s="18" t="s">
        <v>214</v>
      </c>
      <c r="C87" s="15">
        <v>1</v>
      </c>
      <c r="D87" s="15">
        <v>1</v>
      </c>
      <c r="E87" s="19">
        <v>12</v>
      </c>
      <c r="F87" s="21">
        <v>11</v>
      </c>
    </row>
    <row r="88" spans="1:6" ht="72" thickBot="1">
      <c r="A88" s="15">
        <v>724506</v>
      </c>
      <c r="B88" s="18" t="s">
        <v>215</v>
      </c>
      <c r="C88" s="15">
        <v>1</v>
      </c>
      <c r="D88" s="15">
        <v>1</v>
      </c>
      <c r="E88" s="19">
        <v>150</v>
      </c>
      <c r="F88" s="21">
        <v>149</v>
      </c>
    </row>
    <row r="89" spans="1:6" ht="86.25" thickBot="1">
      <c r="A89" s="15">
        <v>733846</v>
      </c>
      <c r="B89" s="18" t="s">
        <v>216</v>
      </c>
      <c r="C89" s="15">
        <v>42</v>
      </c>
      <c r="D89" s="15">
        <v>42</v>
      </c>
      <c r="E89" s="17">
        <v>20</v>
      </c>
      <c r="F89" s="21">
        <v>19</v>
      </c>
    </row>
    <row r="90" spans="1:6" ht="39" thickBot="1">
      <c r="A90" s="15">
        <v>733848</v>
      </c>
      <c r="B90" s="16" t="s">
        <v>217</v>
      </c>
      <c r="C90" s="15">
        <v>100</v>
      </c>
      <c r="D90" s="15">
        <v>100</v>
      </c>
      <c r="E90" s="17">
        <v>20</v>
      </c>
      <c r="F90" s="21">
        <v>19</v>
      </c>
    </row>
    <row r="91" spans="1:6" ht="39" thickBot="1">
      <c r="A91" s="15">
        <v>733849</v>
      </c>
      <c r="B91" s="16" t="s">
        <v>218</v>
      </c>
      <c r="C91" s="15">
        <v>81</v>
      </c>
      <c r="D91" s="15">
        <v>81</v>
      </c>
      <c r="E91" s="17">
        <v>20</v>
      </c>
      <c r="F91" s="21">
        <v>19</v>
      </c>
    </row>
    <row r="92" spans="1:6" ht="39" thickBot="1">
      <c r="A92" s="15">
        <v>733850</v>
      </c>
      <c r="B92" s="16" t="s">
        <v>219</v>
      </c>
      <c r="C92" s="15">
        <v>72</v>
      </c>
      <c r="D92" s="15">
        <v>72</v>
      </c>
      <c r="E92" s="17">
        <v>20</v>
      </c>
      <c r="F92" s="21">
        <v>19</v>
      </c>
    </row>
    <row r="93" spans="1:6" ht="51.75" thickBot="1">
      <c r="A93" s="15">
        <v>733851</v>
      </c>
      <c r="B93" s="16" t="s">
        <v>220</v>
      </c>
      <c r="C93" s="15">
        <v>90</v>
      </c>
      <c r="D93" s="15">
        <v>90</v>
      </c>
      <c r="E93" s="17">
        <v>20</v>
      </c>
      <c r="F93" s="21">
        <v>19</v>
      </c>
    </row>
    <row r="94" spans="1:6" ht="51.75" thickBot="1">
      <c r="A94" s="15">
        <v>733852</v>
      </c>
      <c r="B94" s="16" t="s">
        <v>221</v>
      </c>
      <c r="C94" s="15">
        <v>20</v>
      </c>
      <c r="D94" s="15">
        <v>20</v>
      </c>
      <c r="E94" s="17">
        <v>20</v>
      </c>
      <c r="F94" s="21">
        <v>19</v>
      </c>
    </row>
    <row r="95" spans="1:6" ht="51.75" thickBot="1">
      <c r="A95" s="15">
        <v>733854</v>
      </c>
      <c r="B95" s="16" t="s">
        <v>222</v>
      </c>
      <c r="C95" s="15">
        <v>100</v>
      </c>
      <c r="D95" s="15">
        <v>100</v>
      </c>
      <c r="E95" s="17">
        <v>20</v>
      </c>
      <c r="F95" s="21">
        <v>19</v>
      </c>
    </row>
    <row r="96" spans="1:6" ht="51.75" thickBot="1">
      <c r="A96" s="15">
        <v>733858</v>
      </c>
      <c r="B96" s="16" t="s">
        <v>223</v>
      </c>
      <c r="C96" s="15">
        <v>90</v>
      </c>
      <c r="D96" s="15">
        <v>90</v>
      </c>
      <c r="E96" s="17">
        <v>20</v>
      </c>
      <c r="F96" s="21">
        <v>19</v>
      </c>
    </row>
    <row r="97" spans="1:6" ht="51.75" thickBot="1">
      <c r="A97" s="15">
        <v>733858</v>
      </c>
      <c r="B97" s="16" t="s">
        <v>223</v>
      </c>
      <c r="C97" s="15">
        <v>64</v>
      </c>
      <c r="D97" s="15">
        <v>64</v>
      </c>
      <c r="E97" s="17">
        <v>20</v>
      </c>
      <c r="F97" s="21">
        <v>19</v>
      </c>
    </row>
    <row r="98" spans="1:6" ht="72" thickBot="1">
      <c r="A98" s="15">
        <v>733859</v>
      </c>
      <c r="B98" s="18" t="s">
        <v>224</v>
      </c>
      <c r="C98" s="15">
        <v>36</v>
      </c>
      <c r="D98" s="15">
        <v>36</v>
      </c>
      <c r="E98" s="17">
        <v>20</v>
      </c>
      <c r="F98" s="21">
        <v>19</v>
      </c>
    </row>
    <row r="99" spans="1:6" ht="39" thickBot="1">
      <c r="A99" s="15">
        <v>733898</v>
      </c>
      <c r="B99" s="16" t="s">
        <v>217</v>
      </c>
      <c r="C99" s="15">
        <v>144</v>
      </c>
      <c r="D99" s="15">
        <v>144</v>
      </c>
      <c r="E99" s="17">
        <v>20</v>
      </c>
      <c r="F99" s="21">
        <v>19</v>
      </c>
    </row>
    <row r="100" spans="1:6" ht="51.75" thickBot="1">
      <c r="A100" s="15">
        <v>733899</v>
      </c>
      <c r="B100" s="16" t="s">
        <v>195</v>
      </c>
      <c r="C100" s="15">
        <v>36</v>
      </c>
      <c r="D100" s="15">
        <v>36</v>
      </c>
      <c r="E100" s="17">
        <v>20</v>
      </c>
      <c r="F100" s="21">
        <v>19</v>
      </c>
    </row>
    <row r="101" spans="1:6" ht="39" thickBot="1">
      <c r="A101" s="15">
        <v>733900</v>
      </c>
      <c r="B101" s="16" t="s">
        <v>225</v>
      </c>
      <c r="C101" s="15">
        <v>36</v>
      </c>
      <c r="D101" s="15">
        <v>36</v>
      </c>
      <c r="E101" s="17">
        <v>20</v>
      </c>
      <c r="F101" s="21">
        <v>19</v>
      </c>
    </row>
    <row r="102" spans="1:6" ht="51.75" thickBot="1">
      <c r="A102" s="15">
        <v>733908</v>
      </c>
      <c r="B102" s="16" t="s">
        <v>226</v>
      </c>
      <c r="C102" s="15">
        <v>49</v>
      </c>
      <c r="D102" s="15">
        <v>49</v>
      </c>
      <c r="E102" s="17">
        <v>20</v>
      </c>
      <c r="F102" s="21">
        <v>19</v>
      </c>
    </row>
    <row r="103" spans="1:6" ht="51.75" thickBot="1">
      <c r="A103" s="15">
        <v>733909</v>
      </c>
      <c r="B103" s="16" t="s">
        <v>80</v>
      </c>
      <c r="C103" s="15">
        <v>81</v>
      </c>
      <c r="D103" s="15">
        <v>81</v>
      </c>
      <c r="E103" s="17">
        <v>20</v>
      </c>
      <c r="F103" s="21">
        <v>19</v>
      </c>
    </row>
    <row r="104" spans="1:6" ht="64.5" thickBot="1">
      <c r="A104" s="15">
        <v>733911</v>
      </c>
      <c r="B104" s="16" t="s">
        <v>227</v>
      </c>
      <c r="C104" s="15">
        <v>36</v>
      </c>
      <c r="D104" s="15">
        <v>36</v>
      </c>
      <c r="E104" s="17">
        <v>20</v>
      </c>
      <c r="F104" s="21">
        <v>19</v>
      </c>
    </row>
    <row r="105" spans="1:6" ht="51.75" thickBot="1">
      <c r="A105" s="15">
        <v>733933</v>
      </c>
      <c r="B105" s="16" t="s">
        <v>228</v>
      </c>
      <c r="C105" s="15">
        <v>36</v>
      </c>
      <c r="D105" s="15">
        <v>36</v>
      </c>
      <c r="E105" s="17">
        <v>20</v>
      </c>
      <c r="F105" s="21">
        <v>19</v>
      </c>
    </row>
    <row r="106" spans="1:6" ht="51.75" thickBot="1">
      <c r="A106" s="15">
        <v>733943</v>
      </c>
      <c r="B106" s="16" t="s">
        <v>229</v>
      </c>
      <c r="C106" s="15">
        <v>72</v>
      </c>
      <c r="D106" s="15">
        <v>72</v>
      </c>
      <c r="E106" s="17">
        <v>20</v>
      </c>
      <c r="F106" s="21">
        <v>19</v>
      </c>
    </row>
    <row r="107" spans="1:6" ht="39" thickBot="1">
      <c r="A107" s="15">
        <v>733952</v>
      </c>
      <c r="B107" s="16" t="s">
        <v>230</v>
      </c>
      <c r="C107" s="15">
        <v>72</v>
      </c>
      <c r="D107" s="15">
        <v>72</v>
      </c>
      <c r="E107" s="17">
        <v>20</v>
      </c>
      <c r="F107" s="21">
        <v>19</v>
      </c>
    </row>
    <row r="108" spans="1:6" ht="51.75" thickBot="1">
      <c r="A108" s="15">
        <v>733957</v>
      </c>
      <c r="B108" s="16" t="s">
        <v>231</v>
      </c>
      <c r="C108" s="15">
        <v>36</v>
      </c>
      <c r="D108" s="15">
        <v>36</v>
      </c>
      <c r="E108" s="17">
        <v>20</v>
      </c>
      <c r="F108" s="21">
        <v>19</v>
      </c>
    </row>
    <row r="109" spans="1:6" ht="51.75" thickBot="1">
      <c r="A109" s="15">
        <v>733963</v>
      </c>
      <c r="B109" s="16" t="s">
        <v>232</v>
      </c>
      <c r="C109" s="15">
        <v>36</v>
      </c>
      <c r="D109" s="15">
        <v>36</v>
      </c>
      <c r="E109" s="17">
        <v>20</v>
      </c>
      <c r="F109" s="21">
        <v>19</v>
      </c>
    </row>
    <row r="110" spans="1:6" ht="39" thickBot="1">
      <c r="A110" s="15">
        <v>733965</v>
      </c>
      <c r="B110" s="16" t="s">
        <v>233</v>
      </c>
      <c r="C110" s="15">
        <v>42</v>
      </c>
      <c r="D110" s="15">
        <v>42</v>
      </c>
      <c r="E110" s="17">
        <v>20</v>
      </c>
      <c r="F110" s="21">
        <v>19</v>
      </c>
    </row>
    <row r="111" spans="1:6" ht="39" thickBot="1">
      <c r="A111" s="15">
        <v>733973</v>
      </c>
      <c r="B111" s="16" t="s">
        <v>234</v>
      </c>
      <c r="C111" s="15">
        <v>36</v>
      </c>
      <c r="D111" s="15">
        <v>36</v>
      </c>
      <c r="E111" s="17">
        <v>20</v>
      </c>
      <c r="F111" s="21">
        <v>19</v>
      </c>
    </row>
    <row r="112" spans="1:6" ht="26.25" thickBot="1">
      <c r="A112" s="15">
        <v>734138</v>
      </c>
      <c r="B112" s="16" t="s">
        <v>235</v>
      </c>
      <c r="C112" s="15">
        <v>36</v>
      </c>
      <c r="D112" s="15">
        <v>36</v>
      </c>
      <c r="E112" s="17">
        <v>20</v>
      </c>
      <c r="F112" s="21">
        <v>19</v>
      </c>
    </row>
    <row r="113" spans="1:6" ht="43.5" thickBot="1">
      <c r="A113" s="15">
        <v>734252</v>
      </c>
      <c r="B113" s="18" t="s">
        <v>236</v>
      </c>
      <c r="C113" s="15">
        <v>16</v>
      </c>
      <c r="D113" s="15">
        <v>16</v>
      </c>
      <c r="E113" s="17">
        <v>20</v>
      </c>
      <c r="F113" s="21">
        <v>19</v>
      </c>
    </row>
    <row r="114" spans="1:6" ht="43.5" thickBot="1">
      <c r="A114" s="15">
        <v>734620</v>
      </c>
      <c r="B114" s="18" t="s">
        <v>237</v>
      </c>
      <c r="C114" s="15">
        <v>1</v>
      </c>
      <c r="D114" s="15">
        <v>1</v>
      </c>
      <c r="E114" s="20">
        <v>8</v>
      </c>
      <c r="F114" s="21">
        <v>7</v>
      </c>
    </row>
    <row r="115" spans="1:6" ht="29.25" thickBot="1">
      <c r="A115" s="15">
        <v>735823</v>
      </c>
      <c r="B115" s="18" t="s">
        <v>238</v>
      </c>
      <c r="C115" s="15">
        <v>1</v>
      </c>
      <c r="D115" s="15">
        <v>1</v>
      </c>
      <c r="E115" s="20">
        <v>15</v>
      </c>
      <c r="F115" s="21">
        <v>14</v>
      </c>
    </row>
    <row r="116" spans="1:6" ht="51.75" thickBot="1">
      <c r="A116" s="15">
        <v>736174</v>
      </c>
      <c r="B116" s="16" t="s">
        <v>239</v>
      </c>
      <c r="C116" s="15">
        <v>36</v>
      </c>
      <c r="D116" s="15">
        <v>36</v>
      </c>
      <c r="E116" s="17">
        <v>20</v>
      </c>
      <c r="F116" s="21">
        <v>19</v>
      </c>
    </row>
    <row r="117" spans="1:6" ht="51.75" thickBot="1">
      <c r="A117" s="15">
        <v>736204</v>
      </c>
      <c r="B117" s="16" t="s">
        <v>240</v>
      </c>
      <c r="C117" s="15">
        <v>36</v>
      </c>
      <c r="D117" s="15">
        <v>36</v>
      </c>
      <c r="E117" s="17">
        <v>20</v>
      </c>
      <c r="F117" s="21">
        <v>19</v>
      </c>
    </row>
    <row r="118" spans="1:6" ht="39" thickBot="1">
      <c r="A118" s="15">
        <v>736549</v>
      </c>
      <c r="B118" s="16" t="s">
        <v>241</v>
      </c>
      <c r="C118" s="15">
        <v>50</v>
      </c>
      <c r="D118" s="15">
        <v>50</v>
      </c>
      <c r="E118" s="20">
        <v>50</v>
      </c>
      <c r="F118" s="21">
        <v>49</v>
      </c>
    </row>
    <row r="119" spans="1:6" ht="51.75" thickBot="1">
      <c r="A119" s="15">
        <v>736652</v>
      </c>
      <c r="B119" s="16" t="s">
        <v>242</v>
      </c>
      <c r="C119" s="15">
        <v>64</v>
      </c>
      <c r="D119" s="15">
        <v>64</v>
      </c>
      <c r="E119" s="17">
        <v>20</v>
      </c>
      <c r="F119" s="21">
        <v>19</v>
      </c>
    </row>
    <row r="120" spans="1:6" ht="51.75" thickBot="1">
      <c r="A120" s="15">
        <v>736654</v>
      </c>
      <c r="B120" s="16" t="s">
        <v>242</v>
      </c>
      <c r="C120" s="15">
        <v>81</v>
      </c>
      <c r="D120" s="15">
        <v>81</v>
      </c>
      <c r="E120" s="17">
        <v>20</v>
      </c>
      <c r="F120" s="21">
        <v>19</v>
      </c>
    </row>
    <row r="121" spans="1:6" ht="86.25" thickBot="1">
      <c r="A121" s="15">
        <v>736663</v>
      </c>
      <c r="B121" s="18" t="s">
        <v>243</v>
      </c>
      <c r="C121" s="15">
        <v>81</v>
      </c>
      <c r="D121" s="15">
        <v>81</v>
      </c>
      <c r="E121" s="17">
        <v>20</v>
      </c>
      <c r="F121" s="21">
        <v>19</v>
      </c>
    </row>
    <row r="122" spans="1:6" ht="72" thickBot="1">
      <c r="A122" s="15">
        <v>736668</v>
      </c>
      <c r="B122" s="18" t="s">
        <v>244</v>
      </c>
      <c r="C122" s="15">
        <v>36</v>
      </c>
      <c r="D122" s="15">
        <v>36</v>
      </c>
      <c r="E122" s="17">
        <v>20</v>
      </c>
      <c r="F122" s="21">
        <v>19</v>
      </c>
    </row>
    <row r="123" spans="1:6" ht="51.75" thickBot="1">
      <c r="A123" s="15">
        <v>736672</v>
      </c>
      <c r="B123" s="16" t="s">
        <v>85</v>
      </c>
      <c r="C123" s="15">
        <v>81</v>
      </c>
      <c r="D123" s="15">
        <v>81</v>
      </c>
      <c r="E123" s="17">
        <v>20</v>
      </c>
      <c r="F123" s="21">
        <v>19</v>
      </c>
    </row>
    <row r="124" spans="1:6" ht="51.75" thickBot="1">
      <c r="A124" s="15">
        <v>736674</v>
      </c>
      <c r="B124" s="16" t="s">
        <v>245</v>
      </c>
      <c r="C124" s="15">
        <v>81</v>
      </c>
      <c r="D124" s="15">
        <v>81</v>
      </c>
      <c r="E124" s="17">
        <v>20</v>
      </c>
      <c r="F124" s="21">
        <v>19</v>
      </c>
    </row>
    <row r="125" spans="1:6" ht="57.75" thickBot="1">
      <c r="A125" s="15">
        <v>736705</v>
      </c>
      <c r="B125" s="18" t="s">
        <v>246</v>
      </c>
      <c r="C125" s="15">
        <v>1</v>
      </c>
      <c r="D125" s="15">
        <v>1</v>
      </c>
      <c r="E125" s="20">
        <v>17</v>
      </c>
      <c r="F125" s="21">
        <v>16</v>
      </c>
    </row>
    <row r="126" spans="1:6" ht="51.75" thickBot="1">
      <c r="A126" s="15">
        <v>736894</v>
      </c>
      <c r="B126" s="16" t="s">
        <v>247</v>
      </c>
      <c r="C126" s="15">
        <v>20</v>
      </c>
      <c r="D126" s="15">
        <v>20</v>
      </c>
      <c r="E126" s="17">
        <v>20</v>
      </c>
      <c r="F126" s="21">
        <v>19</v>
      </c>
    </row>
    <row r="127" spans="1:6" ht="72" thickBot="1">
      <c r="A127" s="15">
        <v>736937</v>
      </c>
      <c r="B127" s="18" t="s">
        <v>248</v>
      </c>
      <c r="C127" s="15">
        <v>45</v>
      </c>
      <c r="D127" s="15">
        <v>45</v>
      </c>
      <c r="E127" s="17">
        <v>20</v>
      </c>
      <c r="F127" s="21">
        <v>19</v>
      </c>
    </row>
    <row r="128" spans="1:6" ht="51.75" thickBot="1">
      <c r="A128" s="15">
        <v>737044</v>
      </c>
      <c r="B128" s="16" t="s">
        <v>249</v>
      </c>
      <c r="C128" s="15">
        <v>64</v>
      </c>
      <c r="D128" s="15">
        <v>64</v>
      </c>
      <c r="E128" s="17">
        <v>20</v>
      </c>
      <c r="F128" s="21">
        <v>19</v>
      </c>
    </row>
    <row r="129" spans="1:6" ht="51.75" thickBot="1">
      <c r="A129" s="15">
        <v>737051</v>
      </c>
      <c r="B129" s="16" t="s">
        <v>250</v>
      </c>
      <c r="C129" s="15">
        <v>36</v>
      </c>
      <c r="D129" s="15">
        <v>36</v>
      </c>
      <c r="E129" s="17">
        <v>20</v>
      </c>
      <c r="F129" s="21">
        <v>19</v>
      </c>
    </row>
    <row r="130" spans="1:6" ht="39" thickBot="1">
      <c r="A130" s="15">
        <v>737052</v>
      </c>
      <c r="B130" s="16" t="s">
        <v>251</v>
      </c>
      <c r="C130" s="15">
        <v>64</v>
      </c>
      <c r="D130" s="15">
        <v>64</v>
      </c>
      <c r="E130" s="17">
        <v>20</v>
      </c>
      <c r="F130" s="21">
        <v>19</v>
      </c>
    </row>
    <row r="131" spans="1:6" ht="39" thickBot="1">
      <c r="A131" s="15">
        <v>737053</v>
      </c>
      <c r="B131" s="16" t="s">
        <v>251</v>
      </c>
      <c r="C131" s="15">
        <v>81</v>
      </c>
      <c r="D131" s="15">
        <v>81</v>
      </c>
      <c r="E131" s="17">
        <v>20</v>
      </c>
      <c r="F131" s="21">
        <v>19</v>
      </c>
    </row>
    <row r="132" spans="1:6" ht="72" thickBot="1">
      <c r="A132" s="15">
        <v>737117</v>
      </c>
      <c r="B132" s="18" t="s">
        <v>252</v>
      </c>
      <c r="C132" s="15">
        <v>1</v>
      </c>
      <c r="D132" s="15">
        <v>1</v>
      </c>
      <c r="E132" s="20">
        <v>220</v>
      </c>
      <c r="F132" s="21">
        <v>219</v>
      </c>
    </row>
    <row r="133" spans="1:6" ht="51.75" thickBot="1">
      <c r="A133" s="15">
        <v>737199</v>
      </c>
      <c r="B133" s="16" t="s">
        <v>199</v>
      </c>
      <c r="C133" s="15">
        <v>42</v>
      </c>
      <c r="D133" s="15">
        <v>42</v>
      </c>
      <c r="E133" s="17">
        <v>20</v>
      </c>
      <c r="F133" s="21">
        <v>19</v>
      </c>
    </row>
    <row r="134" spans="1:6" ht="51.75" thickBot="1">
      <c r="A134" s="15">
        <v>737240</v>
      </c>
      <c r="B134" s="16" t="s">
        <v>253</v>
      </c>
      <c r="C134" s="15">
        <v>36</v>
      </c>
      <c r="D134" s="15">
        <v>36</v>
      </c>
      <c r="E134" s="17">
        <v>20</v>
      </c>
      <c r="F134" s="21">
        <v>19</v>
      </c>
    </row>
    <row r="135" spans="1:6" ht="57.75" thickBot="1">
      <c r="A135" s="15">
        <v>737345</v>
      </c>
      <c r="B135" s="18" t="s">
        <v>254</v>
      </c>
      <c r="C135" s="15">
        <v>10</v>
      </c>
      <c r="D135" s="15">
        <v>10</v>
      </c>
      <c r="E135" s="17">
        <v>20</v>
      </c>
      <c r="F135" s="21">
        <v>19</v>
      </c>
    </row>
    <row r="136" spans="1:6" ht="26.25" thickBot="1">
      <c r="A136" s="15">
        <v>737388</v>
      </c>
      <c r="B136" s="16" t="s">
        <v>255</v>
      </c>
      <c r="C136" s="15">
        <v>100</v>
      </c>
      <c r="D136" s="15">
        <v>100</v>
      </c>
      <c r="E136" s="20">
        <v>25</v>
      </c>
      <c r="F136" s="21">
        <v>24</v>
      </c>
    </row>
    <row r="137" spans="1:6" ht="39" thickBot="1">
      <c r="A137" s="15">
        <v>737408</v>
      </c>
      <c r="B137" s="16" t="s">
        <v>256</v>
      </c>
      <c r="C137" s="15">
        <v>100</v>
      </c>
      <c r="D137" s="15">
        <v>100</v>
      </c>
      <c r="E137" s="20">
        <v>25</v>
      </c>
      <c r="F137" s="21">
        <v>24</v>
      </c>
    </row>
    <row r="138" spans="1:6" ht="57.75" thickBot="1">
      <c r="A138" s="15">
        <v>737650</v>
      </c>
      <c r="B138" s="18" t="s">
        <v>257</v>
      </c>
      <c r="C138" s="15">
        <v>160</v>
      </c>
      <c r="D138" s="15">
        <v>160</v>
      </c>
      <c r="E138" s="20">
        <v>13</v>
      </c>
      <c r="F138" s="21">
        <v>12</v>
      </c>
    </row>
    <row r="139" spans="1:6" ht="26.25" thickBot="1">
      <c r="A139" s="15">
        <v>738061</v>
      </c>
      <c r="B139" s="16" t="s">
        <v>258</v>
      </c>
      <c r="C139" s="15">
        <v>25</v>
      </c>
      <c r="D139" s="15">
        <v>25</v>
      </c>
      <c r="E139" s="20">
        <v>25</v>
      </c>
      <c r="F139" s="21">
        <v>24</v>
      </c>
    </row>
    <row r="140" spans="1:6" ht="57.75" thickBot="1">
      <c r="A140" s="15">
        <v>738144</v>
      </c>
      <c r="B140" s="18" t="s">
        <v>259</v>
      </c>
      <c r="C140" s="15">
        <v>1</v>
      </c>
      <c r="D140" s="15">
        <v>1</v>
      </c>
      <c r="E140" s="20">
        <v>10</v>
      </c>
      <c r="F140" s="21">
        <v>9</v>
      </c>
    </row>
    <row r="141" spans="1:6" ht="51.75" thickBot="1">
      <c r="A141" s="15">
        <v>741015</v>
      </c>
      <c r="B141" s="16" t="s">
        <v>260</v>
      </c>
      <c r="C141" s="15">
        <v>6</v>
      </c>
      <c r="D141" s="15">
        <v>6</v>
      </c>
      <c r="E141" s="17">
        <v>20</v>
      </c>
      <c r="F141" s="21">
        <v>19</v>
      </c>
    </row>
    <row r="142" spans="1:6" ht="51.75" thickBot="1">
      <c r="A142" s="15">
        <v>743381</v>
      </c>
      <c r="B142" s="16" t="s">
        <v>245</v>
      </c>
      <c r="C142" s="15">
        <v>64</v>
      </c>
      <c r="D142" s="15">
        <v>64</v>
      </c>
      <c r="E142" s="17">
        <v>20</v>
      </c>
      <c r="F142" s="21">
        <v>19</v>
      </c>
    </row>
    <row r="143" spans="1:6" ht="51.75" thickBot="1">
      <c r="A143" s="15">
        <v>743382</v>
      </c>
      <c r="B143" s="16" t="s">
        <v>261</v>
      </c>
      <c r="C143" s="15">
        <v>81</v>
      </c>
      <c r="D143" s="15">
        <v>81</v>
      </c>
      <c r="E143" s="17">
        <v>20</v>
      </c>
      <c r="F143" s="21">
        <v>19</v>
      </c>
    </row>
    <row r="144" spans="1:6" ht="51.75" thickBot="1">
      <c r="A144" s="15">
        <v>744230</v>
      </c>
      <c r="B144" s="16" t="s">
        <v>262</v>
      </c>
      <c r="C144" s="15">
        <v>64</v>
      </c>
      <c r="D144" s="15">
        <v>64</v>
      </c>
      <c r="E144" s="17">
        <v>20</v>
      </c>
      <c r="F144" s="21">
        <v>19</v>
      </c>
    </row>
    <row r="145" spans="1:6" ht="51.75" thickBot="1">
      <c r="A145" s="15">
        <v>745863</v>
      </c>
      <c r="B145" s="16" t="s">
        <v>263</v>
      </c>
      <c r="C145" s="15">
        <v>6</v>
      </c>
      <c r="D145" s="15">
        <v>6</v>
      </c>
      <c r="E145" s="19">
        <v>6</v>
      </c>
      <c r="F145" s="21">
        <v>5</v>
      </c>
    </row>
    <row r="146" spans="1:6" ht="72" thickBot="1">
      <c r="A146" s="15">
        <v>748517</v>
      </c>
      <c r="B146" s="18" t="s">
        <v>264</v>
      </c>
      <c r="C146" s="15">
        <v>1</v>
      </c>
      <c r="D146" s="15">
        <v>1</v>
      </c>
      <c r="E146" s="19">
        <v>8</v>
      </c>
      <c r="F146" s="21">
        <v>7</v>
      </c>
    </row>
    <row r="147" spans="1:6" ht="72" thickBot="1">
      <c r="A147" s="15">
        <v>749974</v>
      </c>
      <c r="B147" s="18" t="s">
        <v>265</v>
      </c>
      <c r="C147" s="15">
        <v>6</v>
      </c>
      <c r="D147" s="15">
        <v>6</v>
      </c>
      <c r="E147" s="17">
        <v>20</v>
      </c>
      <c r="F147" s="21">
        <v>19</v>
      </c>
    </row>
    <row r="148" spans="1:6" ht="43.5" thickBot="1">
      <c r="A148" s="15">
        <v>750047</v>
      </c>
      <c r="B148" s="18" t="s">
        <v>266</v>
      </c>
      <c r="C148" s="15">
        <v>8</v>
      </c>
      <c r="D148" s="15">
        <v>8</v>
      </c>
      <c r="E148" s="17">
        <v>20</v>
      </c>
      <c r="F148" s="21">
        <v>19</v>
      </c>
    </row>
    <row r="149" spans="1:6" ht="57.75" thickBot="1">
      <c r="A149" s="15">
        <v>751099</v>
      </c>
      <c r="B149" s="18" t="s">
        <v>267</v>
      </c>
      <c r="C149" s="15">
        <v>70</v>
      </c>
      <c r="D149" s="15">
        <v>70</v>
      </c>
      <c r="E149" s="17">
        <v>20</v>
      </c>
      <c r="F149" s="21">
        <v>19</v>
      </c>
    </row>
    <row r="150" spans="1:6" ht="64.5" thickBot="1">
      <c r="A150" s="15">
        <v>751428</v>
      </c>
      <c r="B150" s="16" t="s">
        <v>268</v>
      </c>
      <c r="C150" s="15">
        <v>1</v>
      </c>
      <c r="D150" s="15">
        <v>1</v>
      </c>
      <c r="E150" s="19">
        <v>52</v>
      </c>
      <c r="F150" s="21">
        <v>51</v>
      </c>
    </row>
    <row r="151" spans="1:6" ht="64.5" thickBot="1">
      <c r="A151" s="15">
        <v>751429</v>
      </c>
      <c r="B151" s="16" t="s">
        <v>269</v>
      </c>
      <c r="C151" s="15">
        <v>1</v>
      </c>
      <c r="D151" s="15">
        <v>1</v>
      </c>
      <c r="E151" s="19">
        <v>26</v>
      </c>
      <c r="F151" s="21">
        <v>25</v>
      </c>
    </row>
    <row r="152" spans="1:6" ht="100.5" thickBot="1">
      <c r="A152" s="15">
        <v>754113</v>
      </c>
      <c r="B152" s="18" t="s">
        <v>270</v>
      </c>
      <c r="C152" s="15">
        <v>1</v>
      </c>
      <c r="D152" s="15">
        <v>1</v>
      </c>
      <c r="E152" s="19">
        <v>6</v>
      </c>
      <c r="F152" s="21">
        <v>5</v>
      </c>
    </row>
    <row r="153" spans="1:6" ht="51.75" thickBot="1">
      <c r="A153" s="15">
        <v>756908</v>
      </c>
      <c r="B153" s="16" t="s">
        <v>271</v>
      </c>
      <c r="C153" s="15">
        <v>1</v>
      </c>
      <c r="D153" s="15">
        <v>1</v>
      </c>
      <c r="E153" s="19">
        <v>48</v>
      </c>
      <c r="F153" s="21">
        <v>47</v>
      </c>
    </row>
    <row r="154" spans="1:6" ht="72" thickBot="1">
      <c r="A154" s="15">
        <v>756970</v>
      </c>
      <c r="B154" s="18" t="s">
        <v>272</v>
      </c>
      <c r="C154" s="15">
        <v>1</v>
      </c>
      <c r="D154" s="15">
        <v>1</v>
      </c>
      <c r="E154" s="19">
        <v>115</v>
      </c>
      <c r="F154" s="21">
        <v>114</v>
      </c>
    </row>
    <row r="155" spans="1:6" ht="43.5" thickBot="1">
      <c r="A155" s="15">
        <v>757166</v>
      </c>
      <c r="B155" s="18" t="s">
        <v>273</v>
      </c>
      <c r="C155" s="15">
        <v>50</v>
      </c>
      <c r="D155" s="15">
        <v>50</v>
      </c>
      <c r="E155" s="17">
        <v>20</v>
      </c>
      <c r="F155" s="21">
        <v>19</v>
      </c>
    </row>
    <row r="156" spans="1:6" ht="57.75" thickBot="1">
      <c r="A156" s="15">
        <v>757553</v>
      </c>
      <c r="B156" s="18" t="s">
        <v>274</v>
      </c>
      <c r="C156" s="15">
        <v>42</v>
      </c>
      <c r="D156" s="15">
        <v>42</v>
      </c>
      <c r="E156" s="17">
        <v>20</v>
      </c>
      <c r="F156" s="21">
        <v>19</v>
      </c>
    </row>
    <row r="157" spans="1:6" ht="51.75" thickBot="1">
      <c r="A157" s="15">
        <v>758265</v>
      </c>
      <c r="B157" s="16" t="s">
        <v>275</v>
      </c>
      <c r="C157" s="15">
        <v>1</v>
      </c>
      <c r="D157" s="15">
        <v>1</v>
      </c>
      <c r="E157" s="19">
        <v>10</v>
      </c>
      <c r="F157" s="21">
        <v>9</v>
      </c>
    </row>
    <row r="158" spans="1:6" ht="39" thickBot="1">
      <c r="A158" s="15">
        <v>758307</v>
      </c>
      <c r="B158" s="16" t="s">
        <v>276</v>
      </c>
      <c r="C158" s="15">
        <v>12</v>
      </c>
      <c r="D158" s="15">
        <v>12</v>
      </c>
      <c r="E158" s="20">
        <v>12</v>
      </c>
      <c r="F158" s="21">
        <v>11</v>
      </c>
    </row>
    <row r="159" spans="1:6" ht="64.5" thickBot="1">
      <c r="A159" s="15">
        <v>758428</v>
      </c>
      <c r="B159" s="16" t="s">
        <v>277</v>
      </c>
      <c r="C159" s="15">
        <v>6</v>
      </c>
      <c r="D159" s="15">
        <v>6</v>
      </c>
      <c r="E159" s="19">
        <v>6</v>
      </c>
      <c r="F159" s="21">
        <v>5</v>
      </c>
    </row>
    <row r="160" spans="1:6" ht="64.5" thickBot="1">
      <c r="A160" s="15">
        <v>758429</v>
      </c>
      <c r="B160" s="16" t="s">
        <v>278</v>
      </c>
      <c r="C160" s="15">
        <v>4</v>
      </c>
      <c r="D160" s="15">
        <v>4</v>
      </c>
      <c r="E160" s="19">
        <v>4</v>
      </c>
      <c r="F160" s="21">
        <v>3</v>
      </c>
    </row>
    <row r="161" spans="1:6" ht="51.75" thickBot="1">
      <c r="A161" s="15">
        <v>758606</v>
      </c>
      <c r="B161" s="16" t="s">
        <v>279</v>
      </c>
      <c r="C161" s="15">
        <v>12</v>
      </c>
      <c r="D161" s="15">
        <v>12</v>
      </c>
      <c r="E161" s="19">
        <v>12</v>
      </c>
      <c r="F161" s="21">
        <v>11</v>
      </c>
    </row>
    <row r="162" spans="1:6" ht="51.75" thickBot="1">
      <c r="A162" s="15">
        <v>759745</v>
      </c>
      <c r="B162" s="16" t="s">
        <v>280</v>
      </c>
      <c r="C162" s="15">
        <v>1</v>
      </c>
      <c r="D162" s="15">
        <v>1</v>
      </c>
      <c r="E162" s="19">
        <v>1</v>
      </c>
      <c r="F162" s="21">
        <v>0</v>
      </c>
    </row>
    <row r="163" spans="1:6" ht="64.5" thickBot="1">
      <c r="A163" s="15">
        <v>759748</v>
      </c>
      <c r="B163" s="16" t="s">
        <v>281</v>
      </c>
      <c r="C163" s="15">
        <v>1</v>
      </c>
      <c r="D163" s="15">
        <v>1</v>
      </c>
      <c r="E163" s="19">
        <v>1</v>
      </c>
      <c r="F163" s="21">
        <v>0</v>
      </c>
    </row>
    <row r="164" spans="1:6" ht="39" thickBot="1">
      <c r="A164" s="15">
        <v>759915</v>
      </c>
      <c r="B164" s="16" t="s">
        <v>282</v>
      </c>
      <c r="C164" s="15">
        <v>1</v>
      </c>
      <c r="D164" s="15">
        <v>1</v>
      </c>
      <c r="E164" s="19">
        <v>10</v>
      </c>
      <c r="F164" s="21">
        <v>9</v>
      </c>
    </row>
    <row r="165" spans="1:6" ht="51.75" thickBot="1">
      <c r="A165" s="15">
        <v>759916</v>
      </c>
      <c r="B165" s="16" t="s">
        <v>283</v>
      </c>
      <c r="C165" s="15">
        <v>1</v>
      </c>
      <c r="D165" s="15">
        <v>1</v>
      </c>
      <c r="E165" s="19">
        <v>5</v>
      </c>
      <c r="F165" s="21">
        <v>4</v>
      </c>
    </row>
    <row r="166" spans="1:6" ht="51.75" thickBot="1">
      <c r="A166" s="15">
        <v>759917</v>
      </c>
      <c r="B166" s="16" t="s">
        <v>284</v>
      </c>
      <c r="C166" s="15">
        <v>1</v>
      </c>
      <c r="D166" s="15">
        <v>1</v>
      </c>
      <c r="E166" s="19">
        <v>7</v>
      </c>
      <c r="F166" s="21">
        <v>6</v>
      </c>
    </row>
    <row r="167" spans="1:6" ht="51.75" thickBot="1">
      <c r="A167" s="15">
        <v>759918</v>
      </c>
      <c r="B167" s="16" t="s">
        <v>285</v>
      </c>
      <c r="C167" s="15">
        <v>1</v>
      </c>
      <c r="D167" s="15">
        <v>1</v>
      </c>
      <c r="E167" s="19">
        <v>18</v>
      </c>
      <c r="F167" s="21">
        <v>17</v>
      </c>
    </row>
    <row r="168" spans="1:6" ht="51.75" thickBot="1">
      <c r="A168" s="15">
        <v>759919</v>
      </c>
      <c r="B168" s="16" t="s">
        <v>286</v>
      </c>
      <c r="C168" s="15">
        <v>1</v>
      </c>
      <c r="D168" s="15">
        <v>1</v>
      </c>
      <c r="E168" s="19">
        <v>9</v>
      </c>
      <c r="F168" s="21">
        <v>8</v>
      </c>
    </row>
    <row r="169" spans="1:6" ht="51.75" thickBot="1">
      <c r="A169" s="15">
        <v>759920</v>
      </c>
      <c r="B169" s="16" t="s">
        <v>287</v>
      </c>
      <c r="C169" s="15">
        <v>1</v>
      </c>
      <c r="D169" s="15">
        <v>1</v>
      </c>
      <c r="E169" s="19">
        <v>10</v>
      </c>
      <c r="F169" s="21">
        <v>9</v>
      </c>
    </row>
    <row r="170" spans="1:6" ht="51.75" thickBot="1">
      <c r="A170" s="15">
        <v>759951</v>
      </c>
      <c r="B170" s="16" t="s">
        <v>288</v>
      </c>
      <c r="C170" s="15">
        <v>1</v>
      </c>
      <c r="D170" s="15">
        <v>1</v>
      </c>
      <c r="E170" s="19">
        <v>9</v>
      </c>
      <c r="F170" s="21">
        <v>8</v>
      </c>
    </row>
    <row r="171" spans="1:6" ht="51.75" thickBot="1">
      <c r="A171" s="15">
        <v>759953</v>
      </c>
      <c r="B171" s="16" t="s">
        <v>289</v>
      </c>
      <c r="C171" s="15">
        <v>1</v>
      </c>
      <c r="D171" s="15">
        <v>1</v>
      </c>
      <c r="E171" s="19">
        <v>9</v>
      </c>
      <c r="F171" s="21">
        <v>8</v>
      </c>
    </row>
    <row r="172" spans="1:6" ht="51.75" thickBot="1">
      <c r="A172" s="15">
        <v>759954</v>
      </c>
      <c r="B172" s="16" t="s">
        <v>290</v>
      </c>
      <c r="C172" s="15">
        <v>1</v>
      </c>
      <c r="D172" s="15">
        <v>1</v>
      </c>
      <c r="E172" s="19">
        <v>25</v>
      </c>
      <c r="F172" s="21">
        <v>24</v>
      </c>
    </row>
    <row r="173" spans="1:6" ht="51.75" thickBot="1">
      <c r="A173" s="15">
        <v>759955</v>
      </c>
      <c r="B173" s="16" t="s">
        <v>291</v>
      </c>
      <c r="C173" s="15">
        <v>1</v>
      </c>
      <c r="D173" s="15">
        <v>1</v>
      </c>
      <c r="E173" s="19">
        <v>45</v>
      </c>
      <c r="F173" s="21">
        <v>44</v>
      </c>
    </row>
    <row r="174" spans="1:6" ht="51.75" thickBot="1">
      <c r="A174" s="15">
        <v>759956</v>
      </c>
      <c r="B174" s="16" t="s">
        <v>292</v>
      </c>
      <c r="C174" s="15">
        <v>1</v>
      </c>
      <c r="D174" s="15">
        <v>1</v>
      </c>
      <c r="E174" s="19">
        <v>81</v>
      </c>
      <c r="F174" s="21">
        <v>80</v>
      </c>
    </row>
    <row r="175" spans="1:6" ht="64.5" thickBot="1">
      <c r="A175" s="15">
        <v>759957</v>
      </c>
      <c r="B175" s="16" t="s">
        <v>293</v>
      </c>
      <c r="C175" s="15">
        <v>1</v>
      </c>
      <c r="D175" s="15">
        <v>1</v>
      </c>
      <c r="E175" s="19">
        <v>36</v>
      </c>
      <c r="F175" s="21">
        <v>35</v>
      </c>
    </row>
    <row r="176" spans="1:6" ht="51.75" thickBot="1">
      <c r="A176" s="15">
        <v>759959</v>
      </c>
      <c r="B176" s="16" t="s">
        <v>294</v>
      </c>
      <c r="C176" s="15">
        <v>1</v>
      </c>
      <c r="D176" s="15">
        <v>1</v>
      </c>
      <c r="E176" s="19">
        <v>58</v>
      </c>
      <c r="F176" s="21">
        <v>57</v>
      </c>
    </row>
    <row r="177" spans="1:6" ht="64.5" thickBot="1">
      <c r="A177" s="15">
        <v>759960</v>
      </c>
      <c r="B177" s="16" t="s">
        <v>293</v>
      </c>
      <c r="C177" s="15">
        <v>1</v>
      </c>
      <c r="D177" s="15">
        <v>1</v>
      </c>
      <c r="E177" s="19">
        <v>34</v>
      </c>
      <c r="F177" s="21">
        <v>33</v>
      </c>
    </row>
    <row r="178" spans="1:6" ht="51.75" thickBot="1">
      <c r="A178" s="15">
        <v>759961</v>
      </c>
      <c r="B178" s="16" t="s">
        <v>295</v>
      </c>
      <c r="C178" s="15">
        <v>1</v>
      </c>
      <c r="D178" s="15">
        <v>1</v>
      </c>
      <c r="E178" s="19">
        <v>7</v>
      </c>
      <c r="F178" s="21">
        <v>6</v>
      </c>
    </row>
    <row r="179" spans="1:6" ht="51.75" thickBot="1">
      <c r="A179" s="15">
        <v>759962</v>
      </c>
      <c r="B179" s="16" t="s">
        <v>296</v>
      </c>
      <c r="C179" s="15">
        <v>1</v>
      </c>
      <c r="D179" s="15">
        <v>1</v>
      </c>
      <c r="E179" s="19">
        <v>12</v>
      </c>
      <c r="F179" s="21">
        <v>11</v>
      </c>
    </row>
    <row r="180" spans="1:6" ht="51.75" thickBot="1">
      <c r="A180" s="15">
        <v>759963</v>
      </c>
      <c r="B180" s="16" t="s">
        <v>297</v>
      </c>
      <c r="C180" s="15">
        <v>1</v>
      </c>
      <c r="D180" s="15">
        <v>1</v>
      </c>
      <c r="E180" s="19">
        <v>10</v>
      </c>
      <c r="F180" s="21">
        <v>9</v>
      </c>
    </row>
    <row r="181" spans="1:6" ht="51.75" thickBot="1">
      <c r="A181" s="15">
        <v>759964</v>
      </c>
      <c r="B181" s="16" t="s">
        <v>298</v>
      </c>
      <c r="C181" s="15">
        <v>1</v>
      </c>
      <c r="D181" s="15">
        <v>1</v>
      </c>
      <c r="E181" s="19">
        <v>15</v>
      </c>
      <c r="F181" s="21">
        <v>14</v>
      </c>
    </row>
    <row r="182" spans="1:6" ht="51.75" thickBot="1">
      <c r="A182" s="15">
        <v>759965</v>
      </c>
      <c r="B182" s="16" t="s">
        <v>299</v>
      </c>
      <c r="C182" s="15">
        <v>1</v>
      </c>
      <c r="D182" s="15">
        <v>1</v>
      </c>
      <c r="E182" s="19">
        <v>16</v>
      </c>
      <c r="F182" s="21">
        <v>15</v>
      </c>
    </row>
    <row r="183" spans="1:6" ht="39" thickBot="1">
      <c r="A183" s="15">
        <v>759966</v>
      </c>
      <c r="B183" s="16" t="s">
        <v>300</v>
      </c>
      <c r="C183" s="15">
        <v>1</v>
      </c>
      <c r="D183" s="15">
        <v>1</v>
      </c>
      <c r="E183" s="19">
        <v>14</v>
      </c>
      <c r="F183" s="21">
        <v>13</v>
      </c>
    </row>
    <row r="184" spans="1:6" ht="39" thickBot="1">
      <c r="A184" s="15">
        <v>759967</v>
      </c>
      <c r="B184" s="16" t="s">
        <v>301</v>
      </c>
      <c r="C184" s="15">
        <v>1</v>
      </c>
      <c r="D184" s="15">
        <v>1</v>
      </c>
      <c r="E184" s="19">
        <v>7</v>
      </c>
      <c r="F184" s="21">
        <v>6</v>
      </c>
    </row>
    <row r="185" spans="1:6" ht="51.75" thickBot="1">
      <c r="A185" s="15">
        <v>759968</v>
      </c>
      <c r="B185" s="16" t="s">
        <v>302</v>
      </c>
      <c r="C185" s="15">
        <v>1</v>
      </c>
      <c r="D185" s="15">
        <v>1</v>
      </c>
      <c r="E185" s="19">
        <v>21</v>
      </c>
      <c r="F185" s="21">
        <v>20</v>
      </c>
    </row>
    <row r="186" spans="1:6" ht="51.75" thickBot="1">
      <c r="A186" s="15">
        <v>759969</v>
      </c>
      <c r="B186" s="16" t="s">
        <v>303</v>
      </c>
      <c r="C186" s="15">
        <v>1</v>
      </c>
      <c r="D186" s="15">
        <v>1</v>
      </c>
      <c r="E186" s="19">
        <v>11</v>
      </c>
      <c r="F186" s="21">
        <v>10</v>
      </c>
    </row>
    <row r="187" spans="1:6" ht="51.75" thickBot="1">
      <c r="A187" s="15">
        <v>759970</v>
      </c>
      <c r="B187" s="16" t="s">
        <v>304</v>
      </c>
      <c r="C187" s="15">
        <v>1</v>
      </c>
      <c r="D187" s="15">
        <v>1</v>
      </c>
      <c r="E187" s="19">
        <v>9</v>
      </c>
      <c r="F187" s="21">
        <v>8</v>
      </c>
    </row>
    <row r="188" spans="1:6" ht="51.75" thickBot="1">
      <c r="A188" s="15">
        <v>759971</v>
      </c>
      <c r="B188" s="16" t="s">
        <v>305</v>
      </c>
      <c r="C188" s="15">
        <v>1</v>
      </c>
      <c r="D188" s="15">
        <v>1</v>
      </c>
      <c r="E188" s="19">
        <v>25</v>
      </c>
      <c r="F188" s="21">
        <v>24</v>
      </c>
    </row>
    <row r="189" spans="1:6" ht="51.75" thickBot="1">
      <c r="A189" s="15">
        <v>759972</v>
      </c>
      <c r="B189" s="16" t="s">
        <v>306</v>
      </c>
      <c r="C189" s="15">
        <v>1</v>
      </c>
      <c r="D189" s="15">
        <v>1</v>
      </c>
      <c r="E189" s="19">
        <v>13</v>
      </c>
      <c r="F189" s="21">
        <v>12</v>
      </c>
    </row>
    <row r="190" spans="1:6" ht="51.75" thickBot="1">
      <c r="A190" s="15">
        <v>759973</v>
      </c>
      <c r="B190" s="16" t="s">
        <v>307</v>
      </c>
      <c r="C190" s="15">
        <v>1</v>
      </c>
      <c r="D190" s="15">
        <v>1</v>
      </c>
      <c r="E190" s="19">
        <v>12</v>
      </c>
      <c r="F190" s="21">
        <v>11</v>
      </c>
    </row>
    <row r="191" spans="1:6" ht="51.75" thickBot="1">
      <c r="A191" s="15">
        <v>759974</v>
      </c>
      <c r="B191" s="16" t="s">
        <v>308</v>
      </c>
      <c r="C191" s="15">
        <v>1</v>
      </c>
      <c r="D191" s="15">
        <v>1</v>
      </c>
      <c r="E191" s="19">
        <v>28</v>
      </c>
      <c r="F191" s="21">
        <v>27</v>
      </c>
    </row>
    <row r="192" spans="1:6" ht="51.75" thickBot="1">
      <c r="A192" s="15">
        <v>759975</v>
      </c>
      <c r="B192" s="16" t="s">
        <v>309</v>
      </c>
      <c r="C192" s="15">
        <v>1</v>
      </c>
      <c r="D192" s="15">
        <v>1</v>
      </c>
      <c r="E192" s="19">
        <v>3</v>
      </c>
      <c r="F192" s="21">
        <v>2</v>
      </c>
    </row>
    <row r="193" spans="1:6" ht="51.75" thickBot="1">
      <c r="A193" s="15">
        <v>759976</v>
      </c>
      <c r="B193" s="16" t="s">
        <v>310</v>
      </c>
      <c r="C193" s="15">
        <v>1</v>
      </c>
      <c r="D193" s="15">
        <v>1</v>
      </c>
      <c r="E193" s="19">
        <v>5</v>
      </c>
      <c r="F193" s="21">
        <v>4</v>
      </c>
    </row>
    <row r="194" spans="1:6" ht="51.75" thickBot="1">
      <c r="A194" s="15">
        <v>759977</v>
      </c>
      <c r="B194" s="16" t="s">
        <v>311</v>
      </c>
      <c r="C194" s="15">
        <v>1</v>
      </c>
      <c r="D194" s="15">
        <v>1</v>
      </c>
      <c r="E194" s="19">
        <v>7</v>
      </c>
      <c r="F194" s="21">
        <v>6</v>
      </c>
    </row>
    <row r="195" spans="1:6" ht="51.75" thickBot="1">
      <c r="A195" s="15">
        <v>759978</v>
      </c>
      <c r="B195" s="16" t="s">
        <v>312</v>
      </c>
      <c r="C195" s="15">
        <v>1</v>
      </c>
      <c r="D195" s="15">
        <v>1</v>
      </c>
      <c r="E195" s="19">
        <v>9</v>
      </c>
      <c r="F195" s="21">
        <v>8</v>
      </c>
    </row>
    <row r="196" spans="1:6" ht="51.75" thickBot="1">
      <c r="A196" s="15">
        <v>759981</v>
      </c>
      <c r="B196" s="16" t="s">
        <v>313</v>
      </c>
      <c r="C196" s="15">
        <v>1</v>
      </c>
      <c r="D196" s="15">
        <v>1</v>
      </c>
      <c r="E196" s="19">
        <v>25</v>
      </c>
      <c r="F196" s="21">
        <v>24</v>
      </c>
    </row>
    <row r="197" spans="1:6" ht="51.75" thickBot="1">
      <c r="A197" s="15">
        <v>759982</v>
      </c>
      <c r="B197" s="16" t="s">
        <v>314</v>
      </c>
      <c r="C197" s="15">
        <v>1</v>
      </c>
      <c r="D197" s="15">
        <v>1</v>
      </c>
      <c r="E197" s="19">
        <v>72</v>
      </c>
      <c r="F197" s="21">
        <v>71</v>
      </c>
    </row>
    <row r="198" spans="1:6" ht="51.75" thickBot="1">
      <c r="A198" s="15">
        <v>759984</v>
      </c>
      <c r="B198" s="16" t="s">
        <v>315</v>
      </c>
      <c r="C198" s="15">
        <v>1</v>
      </c>
      <c r="D198" s="15">
        <v>1</v>
      </c>
      <c r="E198" s="19">
        <v>19</v>
      </c>
      <c r="F198" s="21">
        <v>18</v>
      </c>
    </row>
    <row r="199" spans="1:6" ht="51.75" thickBot="1">
      <c r="A199" s="15">
        <v>759985</v>
      </c>
      <c r="B199" s="16" t="s">
        <v>316</v>
      </c>
      <c r="C199" s="15">
        <v>1</v>
      </c>
      <c r="D199" s="15">
        <v>1</v>
      </c>
      <c r="E199" s="19">
        <v>53</v>
      </c>
      <c r="F199" s="21">
        <v>52</v>
      </c>
    </row>
    <row r="200" spans="1:6" ht="51.75" thickBot="1">
      <c r="A200" s="15">
        <v>759986</v>
      </c>
      <c r="B200" s="16" t="s">
        <v>317</v>
      </c>
      <c r="C200" s="15">
        <v>1</v>
      </c>
      <c r="D200" s="15">
        <v>1</v>
      </c>
      <c r="E200" s="19">
        <v>19</v>
      </c>
      <c r="F200" s="21">
        <v>18</v>
      </c>
    </row>
    <row r="201" spans="1:6" ht="51.75" thickBot="1">
      <c r="A201" s="15">
        <v>759988</v>
      </c>
      <c r="B201" s="16" t="s">
        <v>318</v>
      </c>
      <c r="C201" s="15">
        <v>1</v>
      </c>
      <c r="D201" s="15">
        <v>1</v>
      </c>
      <c r="E201" s="19">
        <v>41</v>
      </c>
      <c r="F201" s="21">
        <v>40</v>
      </c>
    </row>
    <row r="202" spans="1:6" ht="51.75" thickBot="1">
      <c r="A202" s="15">
        <v>759989</v>
      </c>
      <c r="B202" s="16" t="s">
        <v>319</v>
      </c>
      <c r="C202" s="15">
        <v>1</v>
      </c>
      <c r="D202" s="15">
        <v>1</v>
      </c>
      <c r="E202" s="19">
        <v>34</v>
      </c>
      <c r="F202" s="21">
        <v>33</v>
      </c>
    </row>
    <row r="203" spans="1:6" ht="51.75" thickBot="1">
      <c r="A203" s="15">
        <v>759990</v>
      </c>
      <c r="B203" s="16" t="s">
        <v>320</v>
      </c>
      <c r="C203" s="15">
        <v>1</v>
      </c>
      <c r="D203" s="15">
        <v>1</v>
      </c>
      <c r="E203" s="19">
        <v>19</v>
      </c>
      <c r="F203" s="21">
        <v>18</v>
      </c>
    </row>
    <row r="204" spans="1:6" ht="39" thickBot="1">
      <c r="A204" s="15">
        <v>759997</v>
      </c>
      <c r="B204" s="16" t="s">
        <v>321</v>
      </c>
      <c r="C204" s="15">
        <v>1</v>
      </c>
      <c r="D204" s="15">
        <v>1</v>
      </c>
      <c r="E204" s="19">
        <v>4</v>
      </c>
      <c r="F204" s="21">
        <v>3</v>
      </c>
    </row>
    <row r="205" spans="1:6" ht="51.75" thickBot="1">
      <c r="A205" s="15">
        <v>760012</v>
      </c>
      <c r="B205" s="16" t="s">
        <v>322</v>
      </c>
      <c r="C205" s="15">
        <v>1</v>
      </c>
      <c r="D205" s="15">
        <v>1</v>
      </c>
      <c r="E205" s="19">
        <v>42</v>
      </c>
      <c r="F205" s="21">
        <v>41</v>
      </c>
    </row>
    <row r="206" spans="1:6" ht="51.75" thickBot="1">
      <c r="A206" s="15">
        <v>760013</v>
      </c>
      <c r="B206" s="16" t="s">
        <v>323</v>
      </c>
      <c r="C206" s="15">
        <v>1</v>
      </c>
      <c r="D206" s="15">
        <v>1</v>
      </c>
      <c r="E206" s="19">
        <v>51</v>
      </c>
      <c r="F206" s="21">
        <v>50</v>
      </c>
    </row>
    <row r="207" spans="1:6" ht="51.75" thickBot="1">
      <c r="A207" s="15">
        <v>760014</v>
      </c>
      <c r="B207" s="16" t="s">
        <v>324</v>
      </c>
      <c r="C207" s="15">
        <v>1</v>
      </c>
      <c r="D207" s="15">
        <v>1</v>
      </c>
      <c r="E207" s="19">
        <v>9</v>
      </c>
      <c r="F207" s="21">
        <v>8</v>
      </c>
    </row>
    <row r="208" spans="1:6" ht="51.75" thickBot="1">
      <c r="A208" s="15">
        <v>760015</v>
      </c>
      <c r="B208" s="16" t="s">
        <v>325</v>
      </c>
      <c r="C208" s="15">
        <v>1</v>
      </c>
      <c r="D208" s="15">
        <v>1</v>
      </c>
      <c r="E208" s="19">
        <v>11</v>
      </c>
      <c r="F208" s="21">
        <v>10</v>
      </c>
    </row>
    <row r="209" spans="1:6" ht="51.75" thickBot="1">
      <c r="A209" s="15">
        <v>760016</v>
      </c>
      <c r="B209" s="16" t="s">
        <v>326</v>
      </c>
      <c r="C209" s="15">
        <v>1</v>
      </c>
      <c r="D209" s="15">
        <v>1</v>
      </c>
      <c r="E209" s="19">
        <v>5</v>
      </c>
      <c r="F209" s="21">
        <v>4</v>
      </c>
    </row>
    <row r="210" spans="1:6" ht="51.75" thickBot="1">
      <c r="A210" s="15">
        <v>760017</v>
      </c>
      <c r="B210" s="16" t="s">
        <v>327</v>
      </c>
      <c r="C210" s="15">
        <v>1</v>
      </c>
      <c r="D210" s="15">
        <v>1</v>
      </c>
      <c r="E210" s="19">
        <v>8</v>
      </c>
      <c r="F210" s="21">
        <v>7</v>
      </c>
    </row>
    <row r="211" spans="1:6" ht="51.75" thickBot="1">
      <c r="A211" s="15">
        <v>760019</v>
      </c>
      <c r="B211" s="16" t="s">
        <v>328</v>
      </c>
      <c r="C211" s="15">
        <v>1</v>
      </c>
      <c r="D211" s="15">
        <v>1</v>
      </c>
      <c r="E211" s="19">
        <v>5</v>
      </c>
      <c r="F211" s="21">
        <v>4</v>
      </c>
    </row>
    <row r="212" spans="1:6" ht="51.75" thickBot="1">
      <c r="A212" s="15">
        <v>760020</v>
      </c>
      <c r="B212" s="16" t="s">
        <v>329</v>
      </c>
      <c r="C212" s="15">
        <v>1</v>
      </c>
      <c r="D212" s="15">
        <v>1</v>
      </c>
      <c r="E212" s="19">
        <v>8</v>
      </c>
      <c r="F212" s="21">
        <v>7</v>
      </c>
    </row>
    <row r="213" spans="1:6" ht="51.75" thickBot="1">
      <c r="A213" s="15">
        <v>760021</v>
      </c>
      <c r="B213" s="16" t="s">
        <v>330</v>
      </c>
      <c r="C213" s="15">
        <v>1</v>
      </c>
      <c r="D213" s="15">
        <v>1</v>
      </c>
      <c r="E213" s="19">
        <v>7</v>
      </c>
      <c r="F213" s="21">
        <v>6</v>
      </c>
    </row>
    <row r="214" spans="1:6" ht="51.75" thickBot="1">
      <c r="A214" s="15">
        <v>760066</v>
      </c>
      <c r="B214" s="16" t="s">
        <v>331</v>
      </c>
      <c r="C214" s="15">
        <v>1</v>
      </c>
      <c r="D214" s="15">
        <v>1</v>
      </c>
      <c r="E214" s="19">
        <v>8</v>
      </c>
      <c r="F214" s="21">
        <v>7</v>
      </c>
    </row>
    <row r="215" spans="1:6" ht="51.75" thickBot="1">
      <c r="A215" s="15">
        <v>760067</v>
      </c>
      <c r="B215" s="16" t="s">
        <v>332</v>
      </c>
      <c r="C215" s="15">
        <v>1</v>
      </c>
      <c r="D215" s="15">
        <v>1</v>
      </c>
      <c r="E215" s="19">
        <v>12</v>
      </c>
      <c r="F215" s="21">
        <v>11</v>
      </c>
    </row>
    <row r="216" spans="1:6" ht="51.75" thickBot="1">
      <c r="A216" s="15">
        <v>760068</v>
      </c>
      <c r="B216" s="16" t="s">
        <v>333</v>
      </c>
      <c r="C216" s="15">
        <v>1</v>
      </c>
      <c r="D216" s="15">
        <v>1</v>
      </c>
      <c r="E216" s="19">
        <v>12</v>
      </c>
      <c r="F216" s="21">
        <v>11</v>
      </c>
    </row>
    <row r="217" spans="1:6" ht="51.75" thickBot="1">
      <c r="A217" s="15">
        <v>760069</v>
      </c>
      <c r="B217" s="16" t="s">
        <v>334</v>
      </c>
      <c r="C217" s="15">
        <v>1</v>
      </c>
      <c r="D217" s="15">
        <v>1</v>
      </c>
      <c r="E217" s="19">
        <v>7</v>
      </c>
      <c r="F217" s="21">
        <v>6</v>
      </c>
    </row>
    <row r="218" spans="1:6" ht="51.75" thickBot="1">
      <c r="A218" s="15">
        <v>760070</v>
      </c>
      <c r="B218" s="16" t="s">
        <v>335</v>
      </c>
      <c r="C218" s="15">
        <v>1</v>
      </c>
      <c r="D218" s="15">
        <v>1</v>
      </c>
      <c r="E218" s="19">
        <v>6</v>
      </c>
      <c r="F218" s="21">
        <v>5</v>
      </c>
    </row>
    <row r="219" spans="1:6" ht="51.75" thickBot="1">
      <c r="A219" s="15">
        <v>760086</v>
      </c>
      <c r="B219" s="16" t="s">
        <v>336</v>
      </c>
      <c r="C219" s="15">
        <v>1</v>
      </c>
      <c r="D219" s="15">
        <v>1</v>
      </c>
      <c r="E219" s="19">
        <v>6</v>
      </c>
      <c r="F219" s="21">
        <v>5</v>
      </c>
    </row>
    <row r="220" spans="1:6" ht="51.75" thickBot="1">
      <c r="A220" s="15">
        <v>760087</v>
      </c>
      <c r="B220" s="16" t="s">
        <v>337</v>
      </c>
      <c r="C220" s="15">
        <v>1</v>
      </c>
      <c r="D220" s="15">
        <v>1</v>
      </c>
      <c r="E220" s="19">
        <v>2</v>
      </c>
      <c r="F220" s="21">
        <v>1</v>
      </c>
    </row>
    <row r="221" spans="1:6" ht="51.75" thickBot="1">
      <c r="A221" s="15">
        <v>763862</v>
      </c>
      <c r="B221" s="16" t="s">
        <v>338</v>
      </c>
      <c r="C221" s="15">
        <v>1</v>
      </c>
      <c r="D221" s="15">
        <v>1</v>
      </c>
      <c r="E221" s="19">
        <v>1</v>
      </c>
      <c r="F221" s="21">
        <v>0</v>
      </c>
    </row>
    <row r="222" spans="1:6" ht="64.5" thickBot="1">
      <c r="A222" s="15">
        <v>763894</v>
      </c>
      <c r="B222" s="16" t="s">
        <v>339</v>
      </c>
      <c r="C222" s="15">
        <v>1</v>
      </c>
      <c r="D222" s="15">
        <v>1</v>
      </c>
      <c r="E222" s="19">
        <v>38</v>
      </c>
      <c r="F222" s="21">
        <v>37</v>
      </c>
    </row>
    <row r="223" spans="1:6" ht="39" thickBot="1">
      <c r="A223" s="15">
        <v>765091</v>
      </c>
      <c r="B223" s="16" t="s">
        <v>340</v>
      </c>
      <c r="C223" s="15">
        <v>1</v>
      </c>
      <c r="D223" s="15">
        <v>1</v>
      </c>
      <c r="E223" s="19">
        <v>4</v>
      </c>
      <c r="F223" s="21">
        <v>3</v>
      </c>
    </row>
    <row r="224" spans="1:6" ht="39" thickBot="1">
      <c r="A224" s="15">
        <v>765495</v>
      </c>
      <c r="B224" s="16" t="s">
        <v>341</v>
      </c>
      <c r="C224" s="15">
        <v>1</v>
      </c>
      <c r="D224" s="15">
        <v>1</v>
      </c>
      <c r="E224" s="19">
        <v>20</v>
      </c>
      <c r="F224" s="21">
        <v>19</v>
      </c>
    </row>
    <row r="225" spans="1:6" ht="64.5" thickBot="1">
      <c r="A225" s="15">
        <v>765603</v>
      </c>
      <c r="B225" s="16" t="s">
        <v>342</v>
      </c>
      <c r="C225" s="15">
        <v>1</v>
      </c>
      <c r="D225" s="15">
        <v>1</v>
      </c>
      <c r="E225" s="19">
        <v>70</v>
      </c>
      <c r="F225" s="21">
        <v>69</v>
      </c>
    </row>
    <row r="226" spans="1:6" ht="51.75" thickBot="1">
      <c r="A226" s="15">
        <v>765604</v>
      </c>
      <c r="B226" s="16" t="s">
        <v>343</v>
      </c>
      <c r="C226" s="15">
        <v>1</v>
      </c>
      <c r="D226" s="15">
        <v>1</v>
      </c>
      <c r="E226" s="19">
        <v>45</v>
      </c>
      <c r="F226" s="21">
        <v>44</v>
      </c>
    </row>
    <row r="227" spans="1:6" ht="51.75" thickBot="1">
      <c r="A227" s="15">
        <v>765715</v>
      </c>
      <c r="B227" s="16" t="s">
        <v>344</v>
      </c>
      <c r="C227" s="15">
        <v>1</v>
      </c>
      <c r="D227" s="15">
        <v>1</v>
      </c>
      <c r="E227" s="19">
        <v>40</v>
      </c>
      <c r="F227" s="21">
        <v>39</v>
      </c>
    </row>
    <row r="228" spans="1:6" ht="39" thickBot="1">
      <c r="A228" s="15">
        <v>765960</v>
      </c>
      <c r="B228" s="16" t="s">
        <v>345</v>
      </c>
      <c r="C228" s="15">
        <v>1</v>
      </c>
      <c r="D228" s="15">
        <v>1</v>
      </c>
      <c r="E228" s="19">
        <v>38</v>
      </c>
      <c r="F228" s="21">
        <v>37</v>
      </c>
    </row>
    <row r="229" spans="1:6" ht="51.75" thickBot="1">
      <c r="A229" s="15">
        <v>766360</v>
      </c>
      <c r="B229" s="16" t="s">
        <v>346</v>
      </c>
      <c r="C229" s="15">
        <v>1</v>
      </c>
      <c r="D229" s="15">
        <v>1</v>
      </c>
      <c r="E229" s="19">
        <v>140</v>
      </c>
      <c r="F229" s="21">
        <v>139</v>
      </c>
    </row>
    <row r="230" spans="1:6" ht="39" thickBot="1">
      <c r="A230" s="15">
        <v>766565</v>
      </c>
      <c r="B230" s="16" t="s">
        <v>347</v>
      </c>
      <c r="C230" s="15">
        <v>1</v>
      </c>
      <c r="D230" s="15">
        <v>1</v>
      </c>
      <c r="E230" s="19">
        <v>16</v>
      </c>
      <c r="F230" s="21">
        <v>15</v>
      </c>
    </row>
    <row r="231" spans="1:6" ht="51.75" thickBot="1">
      <c r="A231" s="15">
        <v>767736</v>
      </c>
      <c r="B231" s="16" t="s">
        <v>348</v>
      </c>
      <c r="C231" s="15">
        <v>1</v>
      </c>
      <c r="D231" s="15">
        <v>1</v>
      </c>
      <c r="E231" s="19">
        <v>24</v>
      </c>
      <c r="F231" s="21">
        <v>23</v>
      </c>
    </row>
    <row r="232" spans="1:6" ht="51.75" thickBot="1">
      <c r="A232" s="15">
        <v>767820</v>
      </c>
      <c r="B232" s="16" t="s">
        <v>245</v>
      </c>
      <c r="C232" s="15">
        <v>100</v>
      </c>
      <c r="D232" s="15">
        <v>100</v>
      </c>
      <c r="E232" s="17">
        <v>20</v>
      </c>
      <c r="F232" s="21">
        <v>19</v>
      </c>
    </row>
    <row r="233" spans="1:6" ht="86.25" thickBot="1">
      <c r="A233" s="15">
        <v>767834</v>
      </c>
      <c r="B233" s="18" t="s">
        <v>349</v>
      </c>
      <c r="C233" s="15">
        <v>64</v>
      </c>
      <c r="D233" s="15">
        <v>64</v>
      </c>
      <c r="E233" s="17">
        <v>20</v>
      </c>
      <c r="F233" s="21">
        <v>19</v>
      </c>
    </row>
    <row r="234" spans="1:6" ht="51.75" thickBot="1">
      <c r="A234" s="15">
        <v>767835</v>
      </c>
      <c r="B234" s="16" t="s">
        <v>350</v>
      </c>
      <c r="C234" s="15">
        <v>64</v>
      </c>
      <c r="D234" s="15">
        <v>64</v>
      </c>
      <c r="E234" s="17">
        <v>20</v>
      </c>
      <c r="F234" s="21">
        <v>19</v>
      </c>
    </row>
    <row r="235" spans="1:6" ht="72" thickBot="1">
      <c r="A235" s="15">
        <v>767843</v>
      </c>
      <c r="B235" s="18" t="s">
        <v>351</v>
      </c>
      <c r="C235" s="15">
        <v>81</v>
      </c>
      <c r="D235" s="15">
        <v>81</v>
      </c>
      <c r="E235" s="17">
        <v>20</v>
      </c>
      <c r="F235" s="21">
        <v>19</v>
      </c>
    </row>
    <row r="236" spans="1:6" ht="72" thickBot="1">
      <c r="A236" s="15">
        <v>767879</v>
      </c>
      <c r="B236" s="18" t="s">
        <v>352</v>
      </c>
      <c r="C236" s="15">
        <v>36</v>
      </c>
      <c r="D236" s="15">
        <v>36</v>
      </c>
      <c r="E236" s="17">
        <v>20</v>
      </c>
      <c r="F236" s="21">
        <v>19</v>
      </c>
    </row>
    <row r="237" spans="1:6" ht="51.75" thickBot="1">
      <c r="A237" s="15">
        <v>767924</v>
      </c>
      <c r="B237" s="16" t="s">
        <v>182</v>
      </c>
      <c r="C237" s="15">
        <v>79</v>
      </c>
      <c r="D237" s="15">
        <v>79</v>
      </c>
      <c r="E237" s="17">
        <v>20</v>
      </c>
      <c r="F237" s="21">
        <v>19</v>
      </c>
    </row>
    <row r="238" spans="1:6" ht="51.75" thickBot="1">
      <c r="A238" s="15">
        <v>767925</v>
      </c>
      <c r="B238" s="16" t="s">
        <v>353</v>
      </c>
      <c r="C238" s="15">
        <v>49</v>
      </c>
      <c r="D238" s="15">
        <v>49</v>
      </c>
      <c r="E238" s="17">
        <v>20</v>
      </c>
      <c r="F238" s="21">
        <v>19</v>
      </c>
    </row>
    <row r="239" spans="1:6" ht="39" thickBot="1">
      <c r="A239" s="15">
        <v>767926</v>
      </c>
      <c r="B239" s="16" t="s">
        <v>354</v>
      </c>
      <c r="C239" s="15">
        <v>78</v>
      </c>
      <c r="D239" s="15">
        <v>78</v>
      </c>
      <c r="E239" s="17">
        <v>20</v>
      </c>
      <c r="F239" s="21">
        <v>19</v>
      </c>
    </row>
    <row r="240" spans="1:6" ht="51.75" thickBot="1">
      <c r="A240" s="15">
        <v>767955</v>
      </c>
      <c r="B240" s="16" t="s">
        <v>355</v>
      </c>
      <c r="C240" s="15">
        <v>64</v>
      </c>
      <c r="D240" s="15">
        <v>64</v>
      </c>
      <c r="E240" s="17">
        <v>20</v>
      </c>
      <c r="F240" s="21">
        <v>19</v>
      </c>
    </row>
    <row r="241" spans="1:6" ht="39" thickBot="1">
      <c r="A241" s="15">
        <v>767956</v>
      </c>
      <c r="B241" s="16" t="s">
        <v>356</v>
      </c>
      <c r="C241" s="15">
        <v>42</v>
      </c>
      <c r="D241" s="15">
        <v>42</v>
      </c>
      <c r="E241" s="17">
        <v>20</v>
      </c>
      <c r="F241" s="21">
        <v>19</v>
      </c>
    </row>
    <row r="242" spans="1:6" ht="51.75" thickBot="1">
      <c r="A242" s="15">
        <v>767971</v>
      </c>
      <c r="B242" s="16" t="s">
        <v>357</v>
      </c>
      <c r="C242" s="15">
        <v>36</v>
      </c>
      <c r="D242" s="15">
        <v>36</v>
      </c>
      <c r="E242" s="17">
        <v>20</v>
      </c>
      <c r="F242" s="21">
        <v>19</v>
      </c>
    </row>
    <row r="243" spans="1:6" ht="51.75" thickBot="1">
      <c r="A243" s="15">
        <v>768067</v>
      </c>
      <c r="B243" s="16" t="s">
        <v>358</v>
      </c>
      <c r="C243" s="15">
        <v>42</v>
      </c>
      <c r="D243" s="15">
        <v>42</v>
      </c>
      <c r="E243" s="17">
        <v>20</v>
      </c>
      <c r="F243" s="21">
        <v>19</v>
      </c>
    </row>
    <row r="244" spans="1:6" ht="39" thickBot="1">
      <c r="A244" s="15">
        <v>768099</v>
      </c>
      <c r="B244" s="16" t="s">
        <v>359</v>
      </c>
      <c r="C244" s="15">
        <v>49</v>
      </c>
      <c r="D244" s="15">
        <v>49</v>
      </c>
      <c r="E244" s="17">
        <v>20</v>
      </c>
      <c r="F244" s="21">
        <v>19</v>
      </c>
    </row>
    <row r="245" spans="1:6" ht="51.75" thickBot="1">
      <c r="A245" s="15">
        <v>768129</v>
      </c>
      <c r="B245" s="16" t="s">
        <v>360</v>
      </c>
      <c r="C245" s="15">
        <v>64</v>
      </c>
      <c r="D245" s="15">
        <v>64</v>
      </c>
      <c r="E245" s="17">
        <v>20</v>
      </c>
      <c r="F245" s="21">
        <v>19</v>
      </c>
    </row>
    <row r="246" spans="1:6" ht="39" thickBot="1">
      <c r="A246" s="15">
        <v>768130</v>
      </c>
      <c r="B246" s="16" t="s">
        <v>218</v>
      </c>
      <c r="C246" s="15">
        <v>64</v>
      </c>
      <c r="D246" s="15">
        <v>64</v>
      </c>
      <c r="E246" s="17">
        <v>20</v>
      </c>
      <c r="F246" s="21">
        <v>19</v>
      </c>
    </row>
    <row r="247" spans="1:6" ht="51.75" thickBot="1">
      <c r="A247" s="15">
        <v>768260</v>
      </c>
      <c r="B247" s="16" t="s">
        <v>361</v>
      </c>
      <c r="C247" s="15">
        <v>1</v>
      </c>
      <c r="D247" s="15">
        <v>1</v>
      </c>
      <c r="E247" s="19">
        <v>42</v>
      </c>
      <c r="F247" s="21">
        <v>41</v>
      </c>
    </row>
    <row r="248" spans="1:6" ht="51.75" thickBot="1">
      <c r="A248" s="15">
        <v>768263</v>
      </c>
      <c r="B248" s="16" t="s">
        <v>362</v>
      </c>
      <c r="C248" s="15">
        <v>36</v>
      </c>
      <c r="D248" s="15">
        <v>36</v>
      </c>
      <c r="E248" s="17">
        <v>20</v>
      </c>
      <c r="F248" s="21">
        <v>19</v>
      </c>
    </row>
    <row r="249" spans="1:6" ht="51.75" thickBot="1">
      <c r="A249" s="15">
        <v>768273</v>
      </c>
      <c r="B249" s="16" t="s">
        <v>363</v>
      </c>
      <c r="C249" s="15">
        <v>36</v>
      </c>
      <c r="D249" s="15">
        <v>36</v>
      </c>
      <c r="E249" s="17">
        <v>20</v>
      </c>
      <c r="F249" s="21">
        <v>19</v>
      </c>
    </row>
    <row r="250" spans="1:6" ht="51.75" thickBot="1">
      <c r="A250" s="15">
        <v>768394</v>
      </c>
      <c r="B250" s="16" t="s">
        <v>364</v>
      </c>
      <c r="C250" s="15">
        <v>4</v>
      </c>
      <c r="D250" s="15">
        <v>4</v>
      </c>
      <c r="E250" s="17">
        <v>20</v>
      </c>
      <c r="F250" s="21">
        <v>19</v>
      </c>
    </row>
    <row r="251" spans="1:6" ht="51.75" thickBot="1">
      <c r="A251" s="15">
        <v>768675</v>
      </c>
      <c r="B251" s="16" t="s">
        <v>365</v>
      </c>
      <c r="C251" s="15">
        <v>1</v>
      </c>
      <c r="D251" s="15">
        <v>1</v>
      </c>
      <c r="E251" s="19">
        <v>60</v>
      </c>
      <c r="F251" s="21">
        <v>59</v>
      </c>
    </row>
    <row r="252" spans="1:6" ht="26.25" thickBot="1">
      <c r="A252" s="15">
        <v>768791</v>
      </c>
      <c r="B252" s="16" t="s">
        <v>366</v>
      </c>
      <c r="C252" s="15">
        <v>120</v>
      </c>
      <c r="D252" s="15">
        <v>120</v>
      </c>
      <c r="E252" s="17">
        <v>20</v>
      </c>
      <c r="F252" s="21">
        <v>19</v>
      </c>
    </row>
    <row r="253" spans="1:6" ht="39" thickBot="1">
      <c r="A253" s="15">
        <v>768795</v>
      </c>
      <c r="B253" s="16" t="s">
        <v>367</v>
      </c>
      <c r="C253" s="15">
        <v>78</v>
      </c>
      <c r="D253" s="15">
        <v>78</v>
      </c>
      <c r="E253" s="17">
        <v>20</v>
      </c>
      <c r="F253" s="21">
        <v>19</v>
      </c>
    </row>
    <row r="254" spans="1:6" ht="100.5" thickBot="1">
      <c r="A254" s="15">
        <v>768804</v>
      </c>
      <c r="B254" s="18" t="s">
        <v>368</v>
      </c>
      <c r="C254" s="15">
        <v>1</v>
      </c>
      <c r="D254" s="15">
        <v>1</v>
      </c>
      <c r="E254" s="19">
        <v>60</v>
      </c>
      <c r="F254" s="21">
        <v>59</v>
      </c>
    </row>
    <row r="255" spans="1:6" ht="64.5" thickBot="1">
      <c r="A255" s="15">
        <v>768924</v>
      </c>
      <c r="B255" s="16" t="s">
        <v>369</v>
      </c>
      <c r="C255" s="15">
        <v>1</v>
      </c>
      <c r="D255" s="15">
        <v>1</v>
      </c>
      <c r="E255" s="19">
        <v>57</v>
      </c>
      <c r="F255" s="21">
        <v>56</v>
      </c>
    </row>
    <row r="256" spans="1:6" ht="51.75" thickBot="1">
      <c r="A256" s="15">
        <v>768925</v>
      </c>
      <c r="B256" s="16" t="s">
        <v>370</v>
      </c>
      <c r="C256" s="15">
        <v>1</v>
      </c>
      <c r="D256" s="15">
        <v>1</v>
      </c>
      <c r="E256" s="19">
        <v>57</v>
      </c>
      <c r="F256" s="21">
        <v>56</v>
      </c>
    </row>
    <row r="257" spans="1:6" ht="51.75" thickBot="1">
      <c r="A257" s="15">
        <v>769180</v>
      </c>
      <c r="B257" s="16" t="s">
        <v>371</v>
      </c>
      <c r="C257" s="15">
        <v>1</v>
      </c>
      <c r="D257" s="15">
        <v>1</v>
      </c>
      <c r="E257" s="19">
        <v>19</v>
      </c>
      <c r="F257" s="21">
        <v>18</v>
      </c>
    </row>
    <row r="258" spans="1:6" ht="64.5" thickBot="1">
      <c r="A258" s="15">
        <v>769186</v>
      </c>
      <c r="B258" s="16" t="s">
        <v>372</v>
      </c>
      <c r="C258" s="15">
        <v>1</v>
      </c>
      <c r="D258" s="15">
        <v>1</v>
      </c>
      <c r="E258" s="19">
        <v>24</v>
      </c>
      <c r="F258" s="21">
        <v>23</v>
      </c>
    </row>
    <row r="259" spans="1:6" ht="51.75" thickBot="1">
      <c r="A259" s="15">
        <v>769252</v>
      </c>
      <c r="B259" s="16" t="s">
        <v>373</v>
      </c>
      <c r="C259" s="15">
        <v>1</v>
      </c>
      <c r="D259" s="15">
        <v>1</v>
      </c>
      <c r="E259" s="19">
        <v>15</v>
      </c>
      <c r="F259" s="21">
        <v>14</v>
      </c>
    </row>
    <row r="260" spans="1:6" ht="64.5" thickBot="1">
      <c r="A260" s="15">
        <v>769266</v>
      </c>
      <c r="B260" s="16" t="s">
        <v>374</v>
      </c>
      <c r="C260" s="15">
        <v>1</v>
      </c>
      <c r="D260" s="15">
        <v>1</v>
      </c>
      <c r="E260" s="19">
        <v>25</v>
      </c>
      <c r="F260" s="21">
        <v>24</v>
      </c>
    </row>
    <row r="261" spans="1:6" ht="51.75" thickBot="1">
      <c r="A261" s="15">
        <v>769267</v>
      </c>
      <c r="B261" s="16" t="s">
        <v>375</v>
      </c>
      <c r="C261" s="15">
        <v>1</v>
      </c>
      <c r="D261" s="15">
        <v>1</v>
      </c>
      <c r="E261" s="19">
        <v>37</v>
      </c>
      <c r="F261" s="21">
        <v>36</v>
      </c>
    </row>
    <row r="262" spans="1:6" ht="64.5" thickBot="1">
      <c r="A262" s="15">
        <v>769288</v>
      </c>
      <c r="B262" s="16" t="s">
        <v>376</v>
      </c>
      <c r="C262" s="15">
        <v>1</v>
      </c>
      <c r="D262" s="15">
        <v>1</v>
      </c>
      <c r="E262" s="19">
        <v>58</v>
      </c>
      <c r="F262" s="21">
        <v>57</v>
      </c>
    </row>
    <row r="263" spans="1:6" ht="64.5" thickBot="1">
      <c r="A263" s="15">
        <v>769373</v>
      </c>
      <c r="B263" s="16" t="s">
        <v>377</v>
      </c>
      <c r="C263" s="15">
        <v>1</v>
      </c>
      <c r="D263" s="15">
        <v>1</v>
      </c>
      <c r="E263" s="19">
        <v>48</v>
      </c>
      <c r="F263" s="21">
        <v>47</v>
      </c>
    </row>
    <row r="264" spans="1:6" ht="39" thickBot="1">
      <c r="A264" s="15">
        <v>769442</v>
      </c>
      <c r="B264" s="16" t="s">
        <v>378</v>
      </c>
      <c r="C264" s="15">
        <v>1</v>
      </c>
      <c r="D264" s="15">
        <v>1</v>
      </c>
      <c r="E264" s="19">
        <v>25</v>
      </c>
      <c r="F264" s="21">
        <v>24</v>
      </c>
    </row>
    <row r="265" spans="1:6" ht="39" thickBot="1">
      <c r="A265" s="15">
        <v>770148</v>
      </c>
      <c r="B265" s="16" t="s">
        <v>379</v>
      </c>
      <c r="C265" s="15">
        <v>1</v>
      </c>
      <c r="D265" s="15">
        <v>1</v>
      </c>
      <c r="E265" s="19">
        <v>36</v>
      </c>
      <c r="F265" s="21">
        <v>35</v>
      </c>
    </row>
    <row r="266" spans="1:6" ht="51.75" thickBot="1">
      <c r="A266" s="15">
        <v>770402</v>
      </c>
      <c r="B266" s="16" t="s">
        <v>380</v>
      </c>
      <c r="C266" s="15">
        <v>1</v>
      </c>
      <c r="D266" s="15">
        <v>1</v>
      </c>
      <c r="E266" s="19">
        <v>16</v>
      </c>
      <c r="F266" s="21">
        <v>15</v>
      </c>
    </row>
    <row r="267" spans="1:6" ht="64.5" thickBot="1">
      <c r="A267" s="15">
        <v>771167</v>
      </c>
      <c r="B267" s="16" t="s">
        <v>381</v>
      </c>
      <c r="C267" s="15">
        <v>1</v>
      </c>
      <c r="D267" s="15">
        <v>1</v>
      </c>
      <c r="E267" s="19">
        <v>14</v>
      </c>
      <c r="F267" s="21">
        <v>13</v>
      </c>
    </row>
    <row r="268" spans="1:6" ht="64.5" thickBot="1">
      <c r="A268" s="15">
        <v>771178</v>
      </c>
      <c r="B268" s="16" t="s">
        <v>382</v>
      </c>
      <c r="C268" s="15">
        <v>1</v>
      </c>
      <c r="D268" s="15">
        <v>1</v>
      </c>
      <c r="E268" s="19">
        <v>48</v>
      </c>
      <c r="F268" s="21">
        <v>47</v>
      </c>
    </row>
    <row r="269" spans="1:6" ht="57.75" thickBot="1">
      <c r="A269" s="15">
        <v>771185</v>
      </c>
      <c r="B269" s="18" t="s">
        <v>383</v>
      </c>
      <c r="C269" s="15">
        <v>1</v>
      </c>
      <c r="D269" s="15">
        <v>1</v>
      </c>
      <c r="E269" s="19">
        <v>16</v>
      </c>
      <c r="F269" s="21">
        <v>15</v>
      </c>
    </row>
    <row r="270" spans="1:6" ht="64.5" thickBot="1">
      <c r="A270" s="15">
        <v>771201</v>
      </c>
      <c r="B270" s="16" t="s">
        <v>384</v>
      </c>
      <c r="C270" s="15">
        <v>1</v>
      </c>
      <c r="D270" s="15">
        <v>1</v>
      </c>
      <c r="E270" s="19">
        <v>18</v>
      </c>
      <c r="F270" s="21">
        <v>17</v>
      </c>
    </row>
    <row r="271" spans="1:6" ht="51.75" thickBot="1">
      <c r="A271" s="15">
        <v>771762</v>
      </c>
      <c r="B271" s="16" t="s">
        <v>385</v>
      </c>
      <c r="C271" s="15">
        <v>1</v>
      </c>
      <c r="D271" s="15">
        <v>1</v>
      </c>
      <c r="E271" s="19">
        <v>15</v>
      </c>
      <c r="F271" s="21">
        <v>14</v>
      </c>
    </row>
    <row r="272" spans="1:6" ht="64.5" thickBot="1">
      <c r="A272" s="15">
        <v>771827</v>
      </c>
      <c r="B272" s="16" t="s">
        <v>386</v>
      </c>
      <c r="C272" s="15">
        <v>1</v>
      </c>
      <c r="D272" s="15">
        <v>1</v>
      </c>
      <c r="E272" s="19">
        <v>16</v>
      </c>
      <c r="F272" s="21">
        <v>15</v>
      </c>
    </row>
    <row r="273" spans="1:6" ht="51.75" thickBot="1">
      <c r="A273" s="15">
        <v>772027</v>
      </c>
      <c r="B273" s="16" t="s">
        <v>387</v>
      </c>
      <c r="C273" s="15">
        <v>1</v>
      </c>
      <c r="D273" s="15">
        <v>1</v>
      </c>
      <c r="E273" s="19">
        <v>32</v>
      </c>
      <c r="F273" s="21">
        <v>31</v>
      </c>
    </row>
    <row r="274" spans="1:6" ht="39" thickBot="1">
      <c r="A274" s="15">
        <v>772301</v>
      </c>
      <c r="B274" s="16" t="s">
        <v>388</v>
      </c>
      <c r="C274" s="15">
        <v>1</v>
      </c>
      <c r="D274" s="15">
        <v>1</v>
      </c>
      <c r="E274" s="19">
        <v>35</v>
      </c>
      <c r="F274" s="21">
        <v>34</v>
      </c>
    </row>
    <row r="275" spans="1:6" ht="51.75" thickBot="1">
      <c r="A275" s="15">
        <v>772514</v>
      </c>
      <c r="B275" s="16" t="s">
        <v>389</v>
      </c>
      <c r="C275" s="15">
        <v>1</v>
      </c>
      <c r="D275" s="15">
        <v>1</v>
      </c>
      <c r="E275" s="19">
        <v>20</v>
      </c>
      <c r="F275" s="21">
        <v>19</v>
      </c>
    </row>
    <row r="276" spans="1:6" ht="51.75" thickBot="1">
      <c r="A276" s="15">
        <v>772515</v>
      </c>
      <c r="B276" s="16" t="s">
        <v>390</v>
      </c>
      <c r="C276" s="15">
        <v>1</v>
      </c>
      <c r="D276" s="15">
        <v>1</v>
      </c>
      <c r="E276" s="19">
        <v>20</v>
      </c>
      <c r="F276" s="21">
        <v>19</v>
      </c>
    </row>
    <row r="277" spans="1:6" ht="51.75" thickBot="1">
      <c r="A277" s="15">
        <v>773064</v>
      </c>
      <c r="B277" s="16" t="s">
        <v>391</v>
      </c>
      <c r="C277" s="15">
        <v>1</v>
      </c>
      <c r="D277" s="15">
        <v>1</v>
      </c>
      <c r="E277" s="19">
        <v>27</v>
      </c>
      <c r="F277" s="21">
        <v>26</v>
      </c>
    </row>
    <row r="278" spans="1:6" ht="26.25" thickBot="1">
      <c r="A278" s="15">
        <v>773080</v>
      </c>
      <c r="B278" s="16" t="s">
        <v>255</v>
      </c>
      <c r="C278" s="15">
        <v>80</v>
      </c>
      <c r="D278" s="15">
        <v>80</v>
      </c>
      <c r="E278" s="20">
        <v>20</v>
      </c>
      <c r="F278" s="21">
        <v>19</v>
      </c>
    </row>
    <row r="279" spans="1:6" ht="39" thickBot="1">
      <c r="A279" s="15">
        <v>774301</v>
      </c>
      <c r="B279" s="16" t="s">
        <v>392</v>
      </c>
      <c r="C279" s="15">
        <v>1</v>
      </c>
      <c r="D279" s="15">
        <v>1</v>
      </c>
      <c r="E279" s="19">
        <v>4</v>
      </c>
      <c r="F279" s="21">
        <v>3</v>
      </c>
    </row>
    <row r="280" spans="1:6" ht="51.75" thickBot="1">
      <c r="A280" s="15">
        <v>774302</v>
      </c>
      <c r="B280" s="16" t="s">
        <v>393</v>
      </c>
      <c r="C280" s="15">
        <v>1</v>
      </c>
      <c r="D280" s="15">
        <v>1</v>
      </c>
      <c r="E280" s="19">
        <v>4</v>
      </c>
      <c r="F280" s="21">
        <v>3</v>
      </c>
    </row>
    <row r="281" spans="1:6" ht="39" thickBot="1">
      <c r="A281" s="15">
        <v>775445</v>
      </c>
      <c r="B281" s="16" t="s">
        <v>394</v>
      </c>
      <c r="C281" s="15">
        <v>1</v>
      </c>
      <c r="D281" s="15">
        <v>1</v>
      </c>
      <c r="E281" s="19">
        <v>15</v>
      </c>
      <c r="F281" s="21">
        <v>14</v>
      </c>
    </row>
    <row r="282" spans="1:6" ht="51.75" thickBot="1">
      <c r="A282" s="15">
        <v>775954</v>
      </c>
      <c r="B282" s="16" t="s">
        <v>395</v>
      </c>
      <c r="C282" s="15">
        <v>1</v>
      </c>
      <c r="D282" s="15">
        <v>1</v>
      </c>
      <c r="E282" s="19">
        <v>79</v>
      </c>
      <c r="F282" s="21">
        <v>78</v>
      </c>
    </row>
    <row r="283" spans="1:6" ht="72" thickBot="1">
      <c r="A283" s="15">
        <v>777170</v>
      </c>
      <c r="B283" s="18" t="s">
        <v>396</v>
      </c>
      <c r="C283" s="15">
        <v>1</v>
      </c>
      <c r="D283" s="15">
        <v>1</v>
      </c>
      <c r="E283" s="19">
        <v>238</v>
      </c>
      <c r="F283" s="21">
        <v>237</v>
      </c>
    </row>
    <row r="284" spans="1:6" ht="43.5" thickBot="1">
      <c r="A284" s="15">
        <v>778030</v>
      </c>
      <c r="B284" s="18" t="s">
        <v>397</v>
      </c>
      <c r="C284" s="15">
        <v>72</v>
      </c>
      <c r="D284" s="15">
        <v>72</v>
      </c>
      <c r="E284" s="17">
        <v>20</v>
      </c>
      <c r="F284" s="21">
        <v>19</v>
      </c>
    </row>
    <row r="285" spans="1:6" ht="43.5" thickBot="1">
      <c r="A285" s="15">
        <v>778075</v>
      </c>
      <c r="B285" s="18" t="s">
        <v>398</v>
      </c>
      <c r="C285" s="15">
        <v>1</v>
      </c>
      <c r="D285" s="15">
        <v>1</v>
      </c>
      <c r="E285" s="19">
        <v>288</v>
      </c>
      <c r="F285" s="21">
        <v>287</v>
      </c>
    </row>
    <row r="286" spans="1:6" ht="72" thickBot="1">
      <c r="A286" s="15">
        <v>778552</v>
      </c>
      <c r="B286" s="18" t="s">
        <v>399</v>
      </c>
      <c r="C286" s="15">
        <v>1</v>
      </c>
      <c r="D286" s="15">
        <v>1</v>
      </c>
      <c r="E286" s="19">
        <v>8</v>
      </c>
      <c r="F286" s="21">
        <v>7</v>
      </c>
    </row>
    <row r="287" spans="1:6" ht="72" thickBot="1">
      <c r="A287" s="15">
        <v>778750</v>
      </c>
      <c r="B287" s="18" t="s">
        <v>400</v>
      </c>
      <c r="C287" s="15">
        <v>1</v>
      </c>
      <c r="D287" s="15">
        <v>1</v>
      </c>
      <c r="E287" s="19">
        <v>13</v>
      </c>
      <c r="F287" s="21">
        <v>12</v>
      </c>
    </row>
    <row r="288" spans="1:6" ht="57.75" thickBot="1">
      <c r="A288" s="15">
        <v>778774</v>
      </c>
      <c r="B288" s="18" t="s">
        <v>401</v>
      </c>
      <c r="C288" s="15">
        <v>1</v>
      </c>
      <c r="D288" s="15">
        <v>1</v>
      </c>
      <c r="E288" s="19">
        <v>4</v>
      </c>
      <c r="F288" s="21">
        <v>3</v>
      </c>
    </row>
    <row r="289" spans="1:6" ht="57.75" thickBot="1">
      <c r="A289" s="15">
        <v>778776</v>
      </c>
      <c r="B289" s="18" t="s">
        <v>402</v>
      </c>
      <c r="C289" s="15">
        <v>1</v>
      </c>
      <c r="D289" s="15">
        <v>1</v>
      </c>
      <c r="E289" s="19">
        <v>0</v>
      </c>
      <c r="F289" s="21">
        <v>-1</v>
      </c>
    </row>
    <row r="290" spans="1:6" ht="57.75" thickBot="1">
      <c r="A290" s="15">
        <v>779053</v>
      </c>
      <c r="B290" s="18" t="s">
        <v>403</v>
      </c>
      <c r="C290" s="15">
        <v>1</v>
      </c>
      <c r="D290" s="15">
        <v>1</v>
      </c>
      <c r="E290" s="19">
        <v>131</v>
      </c>
      <c r="F290" s="21">
        <v>130</v>
      </c>
    </row>
    <row r="291" spans="1:6" ht="57.75" thickBot="1">
      <c r="A291" s="15">
        <v>779054</v>
      </c>
      <c r="B291" s="18" t="s">
        <v>404</v>
      </c>
      <c r="C291" s="15">
        <v>1</v>
      </c>
      <c r="D291" s="15">
        <v>1</v>
      </c>
      <c r="E291" s="19">
        <v>97</v>
      </c>
      <c r="F291" s="21">
        <v>96</v>
      </c>
    </row>
    <row r="292" spans="1:6" ht="72" thickBot="1">
      <c r="A292" s="15">
        <v>779097</v>
      </c>
      <c r="B292" s="18" t="s">
        <v>405</v>
      </c>
      <c r="C292" s="15">
        <v>24</v>
      </c>
      <c r="D292" s="15">
        <v>24</v>
      </c>
      <c r="E292" s="17">
        <v>20</v>
      </c>
      <c r="F292" s="21">
        <v>19</v>
      </c>
    </row>
    <row r="293" spans="1:6" ht="72" thickBot="1">
      <c r="A293" s="15">
        <v>779571</v>
      </c>
      <c r="B293" s="18" t="s">
        <v>406</v>
      </c>
      <c r="C293" s="15">
        <v>1</v>
      </c>
      <c r="D293" s="15">
        <v>1</v>
      </c>
      <c r="E293" s="19">
        <v>67</v>
      </c>
      <c r="F293" s="21">
        <v>66</v>
      </c>
    </row>
    <row r="294" spans="1:6" ht="43.5" thickBot="1">
      <c r="A294" s="15">
        <v>780164</v>
      </c>
      <c r="B294" s="18" t="s">
        <v>407</v>
      </c>
      <c r="C294" s="15">
        <v>1</v>
      </c>
      <c r="D294" s="15">
        <v>1</v>
      </c>
      <c r="E294" s="19">
        <v>1</v>
      </c>
      <c r="F294" s="21">
        <v>0</v>
      </c>
    </row>
    <row r="295" spans="1:6" ht="72" thickBot="1">
      <c r="A295" s="15">
        <v>780686</v>
      </c>
      <c r="B295" s="18" t="s">
        <v>408</v>
      </c>
      <c r="C295" s="15">
        <v>1</v>
      </c>
      <c r="D295" s="15">
        <v>1</v>
      </c>
      <c r="E295" s="19">
        <v>124</v>
      </c>
      <c r="F295" s="21">
        <v>123</v>
      </c>
    </row>
    <row r="296" spans="1:6" ht="86.25" thickBot="1">
      <c r="A296" s="15">
        <v>780886</v>
      </c>
      <c r="B296" s="18" t="s">
        <v>409</v>
      </c>
      <c r="C296" s="15">
        <v>1</v>
      </c>
      <c r="D296" s="15">
        <v>1</v>
      </c>
      <c r="E296" s="19">
        <v>44</v>
      </c>
      <c r="F296" s="21">
        <v>43</v>
      </c>
    </row>
    <row r="297" spans="1:6" ht="72" thickBot="1">
      <c r="A297" s="15">
        <v>781000</v>
      </c>
      <c r="B297" s="18" t="s">
        <v>410</v>
      </c>
      <c r="C297" s="15">
        <v>1</v>
      </c>
      <c r="D297" s="15">
        <v>1</v>
      </c>
      <c r="E297" s="19">
        <v>196</v>
      </c>
      <c r="F297" s="21">
        <v>195</v>
      </c>
    </row>
    <row r="298" spans="1:6" ht="86.25" thickBot="1">
      <c r="A298" s="15">
        <v>781809</v>
      </c>
      <c r="B298" s="18" t="s">
        <v>411</v>
      </c>
      <c r="C298" s="15">
        <v>1</v>
      </c>
      <c r="D298" s="15">
        <v>1</v>
      </c>
      <c r="E298" s="19">
        <v>60</v>
      </c>
      <c r="F298" s="21">
        <v>59</v>
      </c>
    </row>
    <row r="299" spans="1:6" ht="72" thickBot="1">
      <c r="A299" s="15">
        <v>781899</v>
      </c>
      <c r="B299" s="18" t="s">
        <v>412</v>
      </c>
      <c r="C299" s="15">
        <v>64</v>
      </c>
      <c r="D299" s="15">
        <v>64</v>
      </c>
      <c r="E299" s="17">
        <v>20</v>
      </c>
      <c r="F299" s="21">
        <v>19</v>
      </c>
    </row>
    <row r="300" spans="1:6" ht="86.25" thickBot="1">
      <c r="A300" s="15">
        <v>782328</v>
      </c>
      <c r="B300" s="18" t="s">
        <v>413</v>
      </c>
      <c r="C300" s="15">
        <v>1</v>
      </c>
      <c r="D300" s="15">
        <v>1</v>
      </c>
      <c r="E300" s="19">
        <v>28</v>
      </c>
      <c r="F300" s="21">
        <v>27</v>
      </c>
    </row>
    <row r="301" spans="1:6" ht="86.25" thickBot="1">
      <c r="A301" s="15">
        <v>782358</v>
      </c>
      <c r="B301" s="18" t="s">
        <v>414</v>
      </c>
      <c r="C301" s="15">
        <v>1</v>
      </c>
      <c r="D301" s="15">
        <v>1</v>
      </c>
      <c r="E301" s="19">
        <v>48</v>
      </c>
      <c r="F301" s="21">
        <v>47</v>
      </c>
    </row>
    <row r="302" spans="1:6" ht="86.25" thickBot="1">
      <c r="A302" s="15">
        <v>782605</v>
      </c>
      <c r="B302" s="18" t="s">
        <v>415</v>
      </c>
      <c r="C302" s="15">
        <v>1</v>
      </c>
      <c r="D302" s="15">
        <v>1</v>
      </c>
      <c r="E302" s="19">
        <v>16</v>
      </c>
      <c r="F302" s="21">
        <v>15</v>
      </c>
    </row>
    <row r="303" spans="1:6" ht="86.25" thickBot="1">
      <c r="A303" s="15">
        <v>782608</v>
      </c>
      <c r="B303" s="18" t="s">
        <v>416</v>
      </c>
      <c r="C303" s="15">
        <v>1</v>
      </c>
      <c r="D303" s="15">
        <v>1</v>
      </c>
      <c r="E303" s="19">
        <v>48</v>
      </c>
      <c r="F303" s="21">
        <v>47</v>
      </c>
    </row>
    <row r="304" spans="1:6" ht="57.75" thickBot="1">
      <c r="A304" s="15">
        <v>782809</v>
      </c>
      <c r="B304" s="18" t="s">
        <v>417</v>
      </c>
      <c r="C304" s="15">
        <v>1</v>
      </c>
      <c r="D304" s="15">
        <v>1</v>
      </c>
      <c r="E304" s="19">
        <v>94</v>
      </c>
      <c r="F304" s="21">
        <v>93</v>
      </c>
    </row>
    <row r="305" spans="1:6" ht="57.75" thickBot="1">
      <c r="A305" s="15">
        <v>783353</v>
      </c>
      <c r="B305" s="18" t="s">
        <v>418</v>
      </c>
      <c r="C305" s="15">
        <v>1</v>
      </c>
      <c r="D305" s="15">
        <v>1</v>
      </c>
      <c r="E305" s="19">
        <v>301</v>
      </c>
      <c r="F305" s="21">
        <v>300</v>
      </c>
    </row>
    <row r="306" spans="1:6" ht="86.25" thickBot="1">
      <c r="A306" s="15">
        <v>783811</v>
      </c>
      <c r="B306" s="18" t="s">
        <v>419</v>
      </c>
      <c r="C306" s="15">
        <v>1</v>
      </c>
      <c r="D306" s="15">
        <v>1</v>
      </c>
      <c r="E306" s="19">
        <v>4</v>
      </c>
      <c r="F306" s="21">
        <v>3</v>
      </c>
    </row>
    <row r="307" spans="1:6" ht="57.75" thickBot="1">
      <c r="A307" s="15">
        <v>784791</v>
      </c>
      <c r="B307" s="18" t="s">
        <v>420</v>
      </c>
      <c r="C307" s="15">
        <v>8</v>
      </c>
      <c r="D307" s="15">
        <v>8</v>
      </c>
      <c r="E307" s="17">
        <v>20</v>
      </c>
      <c r="F307" s="21">
        <v>19</v>
      </c>
    </row>
    <row r="308" spans="1:6" ht="100.5" thickBot="1">
      <c r="A308" s="15">
        <v>785202</v>
      </c>
      <c r="B308" s="18" t="s">
        <v>421</v>
      </c>
      <c r="C308" s="15">
        <v>1</v>
      </c>
      <c r="D308" s="15">
        <v>1</v>
      </c>
      <c r="E308" s="19">
        <v>12</v>
      </c>
      <c r="F308" s="21">
        <v>11</v>
      </c>
    </row>
    <row r="309" spans="1:6" ht="57.75" thickBot="1">
      <c r="A309" s="15">
        <v>785249</v>
      </c>
      <c r="B309" s="18" t="s">
        <v>422</v>
      </c>
      <c r="C309" s="15">
        <v>16</v>
      </c>
      <c r="D309" s="15">
        <v>16</v>
      </c>
      <c r="E309" s="17">
        <v>20</v>
      </c>
      <c r="F309" s="21">
        <v>19</v>
      </c>
    </row>
    <row r="310" spans="1:6" ht="72" thickBot="1">
      <c r="A310" s="15">
        <v>785547</v>
      </c>
      <c r="B310" s="18" t="s">
        <v>423</v>
      </c>
      <c r="C310" s="15">
        <v>1</v>
      </c>
      <c r="D310" s="15">
        <v>1</v>
      </c>
      <c r="E310" s="19">
        <v>62</v>
      </c>
      <c r="F310" s="21">
        <v>61</v>
      </c>
    </row>
    <row r="311" spans="1:6" ht="72" thickBot="1">
      <c r="A311" s="15">
        <v>785552</v>
      </c>
      <c r="B311" s="18" t="s">
        <v>424</v>
      </c>
      <c r="C311" s="15">
        <v>81</v>
      </c>
      <c r="D311" s="15">
        <v>81</v>
      </c>
      <c r="E311" s="17">
        <v>20</v>
      </c>
      <c r="F311" s="21">
        <v>19</v>
      </c>
    </row>
    <row r="312" spans="1:6" ht="72" thickBot="1">
      <c r="A312" s="15">
        <v>785680</v>
      </c>
      <c r="B312" s="18" t="s">
        <v>425</v>
      </c>
      <c r="C312" s="15">
        <v>36</v>
      </c>
      <c r="D312" s="15">
        <v>36</v>
      </c>
      <c r="E312" s="17">
        <v>20</v>
      </c>
      <c r="F312" s="21">
        <v>19</v>
      </c>
    </row>
    <row r="313" spans="1:6" ht="86.25" thickBot="1">
      <c r="A313" s="15">
        <v>785695</v>
      </c>
      <c r="B313" s="18" t="s">
        <v>426</v>
      </c>
      <c r="C313" s="15">
        <v>36</v>
      </c>
      <c r="D313" s="15">
        <v>36</v>
      </c>
      <c r="E313" s="17">
        <v>20</v>
      </c>
      <c r="F313" s="21">
        <v>19</v>
      </c>
    </row>
    <row r="314" spans="1:6" ht="72" thickBot="1">
      <c r="A314" s="15">
        <v>785717</v>
      </c>
      <c r="B314" s="18" t="s">
        <v>427</v>
      </c>
      <c r="C314" s="15">
        <v>81</v>
      </c>
      <c r="D314" s="15">
        <v>81</v>
      </c>
      <c r="E314" s="17">
        <v>20</v>
      </c>
      <c r="F314" s="21">
        <v>19</v>
      </c>
    </row>
    <row r="315" spans="1:6" ht="57.75" thickBot="1">
      <c r="A315" s="15">
        <v>786128</v>
      </c>
      <c r="B315" s="18" t="s">
        <v>428</v>
      </c>
      <c r="C315" s="15">
        <v>1</v>
      </c>
      <c r="D315" s="15">
        <v>1</v>
      </c>
      <c r="E315" s="19">
        <v>54</v>
      </c>
      <c r="F315" s="21">
        <v>53</v>
      </c>
    </row>
    <row r="316" spans="1:6" ht="72" thickBot="1">
      <c r="A316" s="15">
        <v>786379</v>
      </c>
      <c r="B316" s="18" t="s">
        <v>429</v>
      </c>
      <c r="C316" s="15">
        <v>1</v>
      </c>
      <c r="D316" s="15">
        <v>1</v>
      </c>
      <c r="E316" s="19">
        <v>20</v>
      </c>
      <c r="F316" s="21">
        <v>19</v>
      </c>
    </row>
    <row r="317" spans="1:6" ht="57.75" thickBot="1">
      <c r="A317" s="15">
        <v>786391</v>
      </c>
      <c r="B317" s="18" t="s">
        <v>430</v>
      </c>
      <c r="C317" s="15">
        <v>1</v>
      </c>
      <c r="D317" s="15">
        <v>1</v>
      </c>
      <c r="E317" s="19">
        <v>12</v>
      </c>
      <c r="F317" s="21">
        <v>11</v>
      </c>
    </row>
    <row r="318" spans="1:6" ht="57.75" thickBot="1">
      <c r="A318" s="15">
        <v>786612</v>
      </c>
      <c r="B318" s="18" t="s">
        <v>431</v>
      </c>
      <c r="C318" s="15">
        <v>1</v>
      </c>
      <c r="D318" s="15">
        <v>1</v>
      </c>
      <c r="E318" s="17">
        <v>20</v>
      </c>
      <c r="F318" s="21">
        <v>19</v>
      </c>
    </row>
    <row r="319" spans="1:6" ht="57.75" thickBot="1">
      <c r="A319" s="15">
        <v>786658</v>
      </c>
      <c r="B319" s="18" t="s">
        <v>432</v>
      </c>
      <c r="C319" s="15">
        <v>1</v>
      </c>
      <c r="D319" s="15">
        <v>1</v>
      </c>
      <c r="E319" s="19">
        <v>8</v>
      </c>
      <c r="F319" s="21">
        <v>7</v>
      </c>
    </row>
    <row r="320" spans="1:6" ht="72" thickBot="1">
      <c r="A320" s="15">
        <v>786676</v>
      </c>
      <c r="B320" s="18" t="s">
        <v>425</v>
      </c>
      <c r="C320" s="15">
        <v>64</v>
      </c>
      <c r="D320" s="15">
        <v>64</v>
      </c>
      <c r="E320" s="17">
        <v>20</v>
      </c>
      <c r="F320" s="21">
        <v>19</v>
      </c>
    </row>
    <row r="321" spans="1:6" ht="86.25" thickBot="1">
      <c r="A321" s="15">
        <v>787232</v>
      </c>
      <c r="B321" s="18" t="s">
        <v>433</v>
      </c>
      <c r="C321" s="15">
        <v>1</v>
      </c>
      <c r="D321" s="15">
        <v>1</v>
      </c>
      <c r="E321" s="19">
        <v>21</v>
      </c>
      <c r="F321" s="21">
        <v>20</v>
      </c>
    </row>
    <row r="322" spans="1:6" ht="86.25" thickBot="1">
      <c r="A322" s="15">
        <v>787233</v>
      </c>
      <c r="B322" s="18" t="s">
        <v>434</v>
      </c>
      <c r="C322" s="15">
        <v>1</v>
      </c>
      <c r="D322" s="15">
        <v>1</v>
      </c>
      <c r="E322" s="19">
        <v>20</v>
      </c>
      <c r="F322" s="21">
        <v>18</v>
      </c>
    </row>
    <row r="323" spans="1:6" ht="72" thickBot="1">
      <c r="A323" s="15">
        <v>787234</v>
      </c>
      <c r="B323" s="18" t="s">
        <v>435</v>
      </c>
      <c r="C323" s="15">
        <v>10</v>
      </c>
      <c r="D323" s="15">
        <v>10</v>
      </c>
      <c r="E323" s="19">
        <v>10</v>
      </c>
      <c r="F323" s="21">
        <v>9</v>
      </c>
    </row>
    <row r="324" spans="1:6" ht="86.25" thickBot="1">
      <c r="A324" s="15">
        <v>788581</v>
      </c>
      <c r="B324" s="18" t="s">
        <v>436</v>
      </c>
      <c r="C324" s="15">
        <v>1</v>
      </c>
      <c r="D324" s="15">
        <v>1</v>
      </c>
      <c r="E324" s="19">
        <v>12</v>
      </c>
      <c r="F324" s="21">
        <v>11</v>
      </c>
    </row>
    <row r="325" spans="1:6" ht="57.75" thickBot="1">
      <c r="A325" s="15">
        <v>788907</v>
      </c>
      <c r="B325" s="18" t="s">
        <v>437</v>
      </c>
      <c r="C325" s="15">
        <v>1</v>
      </c>
      <c r="D325" s="15">
        <v>1</v>
      </c>
      <c r="E325" s="19">
        <v>48</v>
      </c>
      <c r="F325" s="21">
        <v>47</v>
      </c>
    </row>
    <row r="326" spans="1:6" ht="72" thickBot="1">
      <c r="A326" s="15">
        <v>789149</v>
      </c>
      <c r="B326" s="18" t="s">
        <v>438</v>
      </c>
      <c r="C326" s="15">
        <v>81</v>
      </c>
      <c r="D326" s="15">
        <v>81</v>
      </c>
      <c r="E326" s="17">
        <v>20</v>
      </c>
      <c r="F326" s="21">
        <v>19</v>
      </c>
    </row>
    <row r="327" spans="1:6" ht="86.25" thickBot="1">
      <c r="A327" s="15">
        <v>789150</v>
      </c>
      <c r="B327" s="18" t="s">
        <v>439</v>
      </c>
      <c r="C327" s="15">
        <v>90</v>
      </c>
      <c r="D327" s="15">
        <v>90</v>
      </c>
      <c r="E327" s="17">
        <v>20</v>
      </c>
      <c r="F327" s="21">
        <v>19</v>
      </c>
    </row>
    <row r="328" spans="1:6" ht="86.25" thickBot="1">
      <c r="A328" s="15">
        <v>789172</v>
      </c>
      <c r="B328" s="18" t="s">
        <v>440</v>
      </c>
      <c r="C328" s="15">
        <v>64</v>
      </c>
      <c r="D328" s="15">
        <v>64</v>
      </c>
      <c r="E328" s="17">
        <v>20</v>
      </c>
      <c r="F328" s="21">
        <v>19</v>
      </c>
    </row>
    <row r="329" spans="1:6" ht="86.25" thickBot="1">
      <c r="A329" s="15">
        <v>789178</v>
      </c>
      <c r="B329" s="18" t="s">
        <v>441</v>
      </c>
      <c r="C329" s="15">
        <v>90</v>
      </c>
      <c r="D329" s="15">
        <v>90</v>
      </c>
      <c r="E329" s="17">
        <v>20</v>
      </c>
      <c r="F329" s="21">
        <v>19</v>
      </c>
    </row>
    <row r="330" spans="1:6" ht="57.75" thickBot="1">
      <c r="A330" s="15">
        <v>789185</v>
      </c>
      <c r="B330" s="18" t="s">
        <v>442</v>
      </c>
      <c r="C330" s="15">
        <v>90</v>
      </c>
      <c r="D330" s="15">
        <v>90</v>
      </c>
      <c r="E330" s="17">
        <v>20</v>
      </c>
      <c r="F330" s="21">
        <v>19</v>
      </c>
    </row>
    <row r="331" spans="1:6" ht="72" thickBot="1">
      <c r="A331" s="15">
        <v>789193</v>
      </c>
      <c r="B331" s="18" t="s">
        <v>443</v>
      </c>
      <c r="C331" s="15">
        <v>81</v>
      </c>
      <c r="D331" s="15">
        <v>81</v>
      </c>
      <c r="E331" s="17">
        <v>20</v>
      </c>
      <c r="F331" s="21">
        <v>19</v>
      </c>
    </row>
    <row r="332" spans="1:6" ht="57.75" thickBot="1">
      <c r="A332" s="15">
        <v>789212</v>
      </c>
      <c r="B332" s="18" t="s">
        <v>444</v>
      </c>
      <c r="C332" s="15">
        <v>64</v>
      </c>
      <c r="D332" s="15">
        <v>64</v>
      </c>
      <c r="E332" s="17">
        <v>20</v>
      </c>
      <c r="F332" s="21">
        <v>19</v>
      </c>
    </row>
    <row r="333" spans="1:6" ht="57.75" thickBot="1">
      <c r="A333" s="15">
        <v>790076</v>
      </c>
      <c r="B333" s="18" t="s">
        <v>445</v>
      </c>
      <c r="C333" s="15">
        <v>64</v>
      </c>
      <c r="D333" s="15">
        <v>64</v>
      </c>
      <c r="E333" s="17">
        <v>20</v>
      </c>
      <c r="F333" s="21">
        <v>19</v>
      </c>
    </row>
    <row r="334" spans="1:6" ht="57.75" thickBot="1">
      <c r="A334" s="15">
        <v>790077</v>
      </c>
      <c r="B334" s="18" t="s">
        <v>446</v>
      </c>
      <c r="C334" s="15">
        <v>80</v>
      </c>
      <c r="D334" s="15">
        <v>80</v>
      </c>
      <c r="E334" s="17">
        <v>20</v>
      </c>
      <c r="F334" s="21">
        <v>19</v>
      </c>
    </row>
    <row r="335" spans="1:6" ht="72" thickBot="1">
      <c r="A335" s="15">
        <v>790078</v>
      </c>
      <c r="B335" s="18" t="s">
        <v>447</v>
      </c>
      <c r="C335" s="15">
        <v>96</v>
      </c>
      <c r="D335" s="15">
        <v>96</v>
      </c>
      <c r="E335" s="17">
        <v>20</v>
      </c>
      <c r="F335" s="21">
        <v>19</v>
      </c>
    </row>
    <row r="336" spans="1:6" ht="72" thickBot="1">
      <c r="A336" s="15">
        <v>790093</v>
      </c>
      <c r="B336" s="18" t="s">
        <v>448</v>
      </c>
      <c r="C336" s="15">
        <v>96</v>
      </c>
      <c r="D336" s="15">
        <v>96</v>
      </c>
      <c r="E336" s="17">
        <v>20</v>
      </c>
      <c r="F336" s="21">
        <v>19</v>
      </c>
    </row>
    <row r="337" spans="1:6" ht="72" thickBot="1">
      <c r="A337" s="15">
        <v>790098</v>
      </c>
      <c r="B337" s="18" t="s">
        <v>449</v>
      </c>
      <c r="C337" s="15">
        <v>96</v>
      </c>
      <c r="D337" s="15">
        <v>96</v>
      </c>
      <c r="E337" s="17">
        <v>20</v>
      </c>
      <c r="F337" s="21">
        <v>19</v>
      </c>
    </row>
    <row r="338" spans="1:6" ht="72" thickBot="1">
      <c r="A338" s="15">
        <v>790109</v>
      </c>
      <c r="B338" s="18" t="s">
        <v>450</v>
      </c>
      <c r="C338" s="15">
        <v>80</v>
      </c>
      <c r="D338" s="15">
        <v>80</v>
      </c>
      <c r="E338" s="17">
        <v>20</v>
      </c>
      <c r="F338" s="21">
        <v>19</v>
      </c>
    </row>
    <row r="339" spans="1:6" ht="72" thickBot="1">
      <c r="A339" s="15">
        <v>790110</v>
      </c>
      <c r="B339" s="18" t="s">
        <v>451</v>
      </c>
      <c r="C339" s="15">
        <v>96</v>
      </c>
      <c r="D339" s="15">
        <v>96</v>
      </c>
      <c r="E339" s="17">
        <v>20</v>
      </c>
      <c r="F339" s="21">
        <v>19</v>
      </c>
    </row>
    <row r="340" spans="1:6" ht="72" thickBot="1">
      <c r="A340" s="15">
        <v>790113</v>
      </c>
      <c r="B340" s="18" t="s">
        <v>452</v>
      </c>
      <c r="C340" s="15">
        <v>80</v>
      </c>
      <c r="D340" s="15">
        <v>80</v>
      </c>
      <c r="E340" s="17">
        <v>20</v>
      </c>
      <c r="F340" s="21">
        <v>19</v>
      </c>
    </row>
    <row r="341" spans="1:6" ht="72" thickBot="1">
      <c r="A341" s="15">
        <v>790116</v>
      </c>
      <c r="B341" s="18" t="s">
        <v>453</v>
      </c>
      <c r="C341" s="15">
        <v>80</v>
      </c>
      <c r="D341" s="15">
        <v>80</v>
      </c>
      <c r="E341" s="17">
        <v>20</v>
      </c>
      <c r="F341" s="21">
        <v>19</v>
      </c>
    </row>
    <row r="342" spans="1:6" ht="57.75" thickBot="1">
      <c r="A342" s="15">
        <v>790512</v>
      </c>
      <c r="B342" s="18" t="s">
        <v>454</v>
      </c>
      <c r="C342" s="15">
        <v>80</v>
      </c>
      <c r="D342" s="15">
        <v>80</v>
      </c>
      <c r="E342" s="17">
        <v>20</v>
      </c>
      <c r="F342" s="21">
        <v>19</v>
      </c>
    </row>
    <row r="343" spans="1:6" ht="57.75" thickBot="1">
      <c r="A343" s="15">
        <v>790819</v>
      </c>
      <c r="B343" s="18" t="s">
        <v>455</v>
      </c>
      <c r="C343" s="15">
        <v>64</v>
      </c>
      <c r="D343" s="15">
        <v>64</v>
      </c>
      <c r="E343" s="17">
        <v>20</v>
      </c>
      <c r="F343" s="21">
        <v>19</v>
      </c>
    </row>
    <row r="344" spans="1:6" ht="86.25" thickBot="1">
      <c r="A344" s="15">
        <v>790860</v>
      </c>
      <c r="B344" s="18" t="s">
        <v>456</v>
      </c>
      <c r="C344" s="15">
        <v>1</v>
      </c>
      <c r="D344" s="15">
        <v>1</v>
      </c>
      <c r="E344" s="19">
        <v>104</v>
      </c>
      <c r="F344" s="21">
        <v>103</v>
      </c>
    </row>
    <row r="345" spans="1:6" ht="43.5" thickBot="1">
      <c r="A345" s="15">
        <v>791799</v>
      </c>
      <c r="B345" s="18" t="s">
        <v>457</v>
      </c>
      <c r="C345" s="15">
        <v>42</v>
      </c>
      <c r="D345" s="15">
        <v>42</v>
      </c>
      <c r="E345" s="17">
        <v>20</v>
      </c>
      <c r="F345" s="21">
        <v>19</v>
      </c>
    </row>
    <row r="346" spans="1:6" ht="72" thickBot="1">
      <c r="A346" s="15">
        <v>791825</v>
      </c>
      <c r="B346" s="18" t="s">
        <v>458</v>
      </c>
      <c r="C346" s="15">
        <v>25</v>
      </c>
      <c r="D346" s="15">
        <v>25</v>
      </c>
      <c r="E346" s="17">
        <v>20</v>
      </c>
      <c r="F346" s="21">
        <v>19</v>
      </c>
    </row>
    <row r="347" spans="1:6" ht="51.75" thickBot="1">
      <c r="A347" s="15">
        <v>791828</v>
      </c>
      <c r="B347" s="16" t="s">
        <v>459</v>
      </c>
      <c r="C347" s="15">
        <v>36</v>
      </c>
      <c r="D347" s="15">
        <v>36</v>
      </c>
      <c r="E347" s="17">
        <v>20</v>
      </c>
      <c r="F347" s="21">
        <v>19</v>
      </c>
    </row>
    <row r="348" spans="1:6" ht="72" thickBot="1">
      <c r="A348" s="15">
        <v>791832</v>
      </c>
      <c r="B348" s="18" t="s">
        <v>460</v>
      </c>
      <c r="C348" s="15">
        <v>90</v>
      </c>
      <c r="D348" s="15">
        <v>90</v>
      </c>
      <c r="E348" s="17">
        <v>20</v>
      </c>
      <c r="F348" s="21">
        <v>19</v>
      </c>
    </row>
    <row r="349" spans="1:6" ht="57.75" thickBot="1">
      <c r="A349" s="15">
        <v>791883</v>
      </c>
      <c r="B349" s="18" t="s">
        <v>461</v>
      </c>
      <c r="C349" s="15">
        <v>80</v>
      </c>
      <c r="D349" s="15">
        <v>80</v>
      </c>
      <c r="E349" s="17">
        <v>20</v>
      </c>
      <c r="F349" s="21">
        <v>19</v>
      </c>
    </row>
    <row r="350" spans="1:6" ht="72" thickBot="1">
      <c r="A350" s="15">
        <v>792012</v>
      </c>
      <c r="B350" s="18" t="s">
        <v>462</v>
      </c>
      <c r="C350" s="15">
        <v>1</v>
      </c>
      <c r="D350" s="15">
        <v>1</v>
      </c>
      <c r="E350" s="19">
        <v>72</v>
      </c>
      <c r="F350" s="21">
        <v>71</v>
      </c>
    </row>
    <row r="351" spans="1:6" ht="72" thickBot="1">
      <c r="A351" s="15">
        <v>792033</v>
      </c>
      <c r="B351" s="18" t="s">
        <v>463</v>
      </c>
      <c r="C351" s="15">
        <v>81</v>
      </c>
      <c r="D351" s="15">
        <v>81</v>
      </c>
      <c r="E351" s="17">
        <v>20</v>
      </c>
      <c r="F351" s="21">
        <v>19</v>
      </c>
    </row>
    <row r="352" spans="1:6" ht="72" thickBot="1">
      <c r="A352" s="15">
        <v>792051</v>
      </c>
      <c r="B352" s="18" t="s">
        <v>464</v>
      </c>
      <c r="C352" s="15">
        <v>36</v>
      </c>
      <c r="D352" s="15">
        <v>36</v>
      </c>
      <c r="E352" s="17">
        <v>20</v>
      </c>
      <c r="F352" s="21">
        <v>19</v>
      </c>
    </row>
    <row r="353" spans="1:6" ht="72" thickBot="1">
      <c r="A353" s="15">
        <v>792375</v>
      </c>
      <c r="B353" s="18" t="s">
        <v>465</v>
      </c>
      <c r="C353" s="15">
        <v>144</v>
      </c>
      <c r="D353" s="15">
        <v>144</v>
      </c>
      <c r="E353" s="17">
        <v>20</v>
      </c>
      <c r="F353" s="21">
        <v>19</v>
      </c>
    </row>
    <row r="354" spans="1:6" ht="72" thickBot="1">
      <c r="A354" s="15">
        <v>792466</v>
      </c>
      <c r="B354" s="18" t="s">
        <v>466</v>
      </c>
      <c r="C354" s="15">
        <v>1</v>
      </c>
      <c r="D354" s="15">
        <v>1</v>
      </c>
      <c r="E354" s="19">
        <v>48</v>
      </c>
      <c r="F354" s="21">
        <v>47</v>
      </c>
    </row>
    <row r="355" spans="1:6" ht="72" thickBot="1">
      <c r="A355" s="15">
        <v>792467</v>
      </c>
      <c r="B355" s="18" t="s">
        <v>467</v>
      </c>
      <c r="C355" s="15">
        <v>1</v>
      </c>
      <c r="D355" s="15">
        <v>1</v>
      </c>
      <c r="E355" s="19">
        <v>48</v>
      </c>
      <c r="F355" s="21">
        <v>47</v>
      </c>
    </row>
    <row r="356" spans="1:6" ht="57.75" thickBot="1">
      <c r="A356" s="15">
        <v>792701</v>
      </c>
      <c r="B356" s="18" t="s">
        <v>468</v>
      </c>
      <c r="C356" s="15">
        <v>64</v>
      </c>
      <c r="D356" s="15">
        <v>64</v>
      </c>
      <c r="E356" s="17">
        <v>20</v>
      </c>
      <c r="F356" s="21">
        <v>19</v>
      </c>
    </row>
    <row r="357" spans="1:6" ht="72" thickBot="1">
      <c r="A357" s="15">
        <v>792753</v>
      </c>
      <c r="B357" s="18" t="s">
        <v>469</v>
      </c>
      <c r="C357" s="15">
        <v>1</v>
      </c>
      <c r="D357" s="15">
        <v>1</v>
      </c>
      <c r="E357" s="19">
        <v>37</v>
      </c>
      <c r="F357" s="21">
        <v>36</v>
      </c>
    </row>
    <row r="358" spans="1:6" ht="72" thickBot="1">
      <c r="A358" s="15">
        <v>792754</v>
      </c>
      <c r="B358" s="18" t="s">
        <v>470</v>
      </c>
      <c r="C358" s="15">
        <v>1</v>
      </c>
      <c r="D358" s="15">
        <v>1</v>
      </c>
      <c r="E358" s="19">
        <v>49</v>
      </c>
      <c r="F358" s="21">
        <v>48</v>
      </c>
    </row>
    <row r="359" spans="1:6" ht="72" thickBot="1">
      <c r="A359" s="15">
        <v>792755</v>
      </c>
      <c r="B359" s="18" t="s">
        <v>471</v>
      </c>
      <c r="C359" s="15">
        <v>1</v>
      </c>
      <c r="D359" s="15">
        <v>1</v>
      </c>
      <c r="E359" s="19">
        <v>12</v>
      </c>
      <c r="F359" s="21">
        <v>11</v>
      </c>
    </row>
    <row r="360" spans="1:6" ht="72" thickBot="1">
      <c r="A360" s="15">
        <v>792756</v>
      </c>
      <c r="B360" s="18" t="s">
        <v>472</v>
      </c>
      <c r="C360" s="15">
        <v>1</v>
      </c>
      <c r="D360" s="15">
        <v>1</v>
      </c>
      <c r="E360" s="19">
        <v>36</v>
      </c>
      <c r="F360" s="21">
        <v>35</v>
      </c>
    </row>
    <row r="361" spans="1:6" ht="72" thickBot="1">
      <c r="A361" s="15">
        <v>792757</v>
      </c>
      <c r="B361" s="18" t="s">
        <v>473</v>
      </c>
      <c r="C361" s="15">
        <v>1</v>
      </c>
      <c r="D361" s="15">
        <v>1</v>
      </c>
      <c r="E361" s="19">
        <v>43</v>
      </c>
      <c r="F361" s="21">
        <v>42</v>
      </c>
    </row>
    <row r="362" spans="1:6" ht="72" thickBot="1">
      <c r="A362" s="15">
        <v>792758</v>
      </c>
      <c r="B362" s="18" t="s">
        <v>474</v>
      </c>
      <c r="C362" s="15">
        <v>1</v>
      </c>
      <c r="D362" s="15">
        <v>1</v>
      </c>
      <c r="E362" s="19">
        <v>41</v>
      </c>
      <c r="F362" s="21">
        <v>40</v>
      </c>
    </row>
    <row r="363" spans="1:6" ht="72" thickBot="1">
      <c r="A363" s="15">
        <v>792759</v>
      </c>
      <c r="B363" s="18" t="s">
        <v>475</v>
      </c>
      <c r="C363" s="15">
        <v>1</v>
      </c>
      <c r="D363" s="15">
        <v>1</v>
      </c>
      <c r="E363" s="19">
        <v>42</v>
      </c>
      <c r="F363" s="21">
        <v>41</v>
      </c>
    </row>
    <row r="364" spans="1:6" ht="72" thickBot="1">
      <c r="A364" s="15">
        <v>792760</v>
      </c>
      <c r="B364" s="18" t="s">
        <v>476</v>
      </c>
      <c r="C364" s="15">
        <v>1</v>
      </c>
      <c r="D364" s="15">
        <v>1</v>
      </c>
      <c r="E364" s="19">
        <v>38</v>
      </c>
      <c r="F364" s="21">
        <v>37</v>
      </c>
    </row>
    <row r="365" spans="1:6" ht="43.5" thickBot="1">
      <c r="A365" s="15">
        <v>792761</v>
      </c>
      <c r="B365" s="18" t="s">
        <v>477</v>
      </c>
      <c r="C365" s="15">
        <v>1</v>
      </c>
      <c r="D365" s="15">
        <v>1</v>
      </c>
      <c r="E365" s="19">
        <v>61</v>
      </c>
      <c r="F365" s="21">
        <v>60</v>
      </c>
    </row>
    <row r="366" spans="1:6" ht="72" thickBot="1">
      <c r="A366" s="15">
        <v>792861</v>
      </c>
      <c r="B366" s="18" t="s">
        <v>478</v>
      </c>
      <c r="C366" s="15">
        <v>1</v>
      </c>
      <c r="D366" s="15">
        <v>1</v>
      </c>
      <c r="E366" s="19">
        <v>60</v>
      </c>
      <c r="F366" s="21">
        <v>59</v>
      </c>
    </row>
    <row r="367" spans="1:6" ht="72" thickBot="1">
      <c r="A367" s="15">
        <v>792862</v>
      </c>
      <c r="B367" s="18" t="s">
        <v>479</v>
      </c>
      <c r="C367" s="15">
        <v>1</v>
      </c>
      <c r="D367" s="15">
        <v>1</v>
      </c>
      <c r="E367" s="19">
        <v>14</v>
      </c>
      <c r="F367" s="21">
        <v>13</v>
      </c>
    </row>
    <row r="368" spans="1:6" ht="72" thickBot="1">
      <c r="A368" s="15">
        <v>792863</v>
      </c>
      <c r="B368" s="18" t="s">
        <v>480</v>
      </c>
      <c r="C368" s="15">
        <v>1</v>
      </c>
      <c r="D368" s="15">
        <v>1</v>
      </c>
      <c r="E368" s="19">
        <v>48</v>
      </c>
      <c r="F368" s="21">
        <v>47</v>
      </c>
    </row>
    <row r="369" spans="1:6" ht="72" thickBot="1">
      <c r="A369" s="15">
        <v>792864</v>
      </c>
      <c r="B369" s="18" t="s">
        <v>481</v>
      </c>
      <c r="C369" s="15">
        <v>1</v>
      </c>
      <c r="D369" s="15">
        <v>1</v>
      </c>
      <c r="E369" s="19">
        <v>32</v>
      </c>
      <c r="F369" s="21">
        <v>31</v>
      </c>
    </row>
    <row r="370" spans="1:6" ht="72" thickBot="1">
      <c r="A370" s="15">
        <v>792865</v>
      </c>
      <c r="B370" s="18" t="s">
        <v>482</v>
      </c>
      <c r="C370" s="15">
        <v>1</v>
      </c>
      <c r="D370" s="15">
        <v>1</v>
      </c>
      <c r="E370" s="19">
        <v>6</v>
      </c>
      <c r="F370" s="21">
        <v>5</v>
      </c>
    </row>
    <row r="371" spans="1:6" ht="72" thickBot="1">
      <c r="A371" s="15">
        <v>792866</v>
      </c>
      <c r="B371" s="18" t="s">
        <v>483</v>
      </c>
      <c r="C371" s="15">
        <v>1</v>
      </c>
      <c r="D371" s="15">
        <v>1</v>
      </c>
      <c r="E371" s="19">
        <v>37</v>
      </c>
      <c r="F371" s="21">
        <v>36</v>
      </c>
    </row>
    <row r="372" spans="1:6" ht="72" thickBot="1">
      <c r="A372" s="15">
        <v>792867</v>
      </c>
      <c r="B372" s="18" t="s">
        <v>484</v>
      </c>
      <c r="C372" s="15">
        <v>1</v>
      </c>
      <c r="D372" s="15">
        <v>1</v>
      </c>
      <c r="E372" s="19">
        <v>51</v>
      </c>
      <c r="F372" s="21">
        <v>50</v>
      </c>
    </row>
    <row r="373" spans="1:6" ht="72" thickBot="1">
      <c r="A373" s="15">
        <v>792868</v>
      </c>
      <c r="B373" s="18" t="s">
        <v>485</v>
      </c>
      <c r="C373" s="15">
        <v>1</v>
      </c>
      <c r="D373" s="15">
        <v>1</v>
      </c>
      <c r="E373" s="19">
        <v>30</v>
      </c>
      <c r="F373" s="21">
        <v>29</v>
      </c>
    </row>
    <row r="374" spans="1:6" ht="72" thickBot="1">
      <c r="A374" s="15">
        <v>792869</v>
      </c>
      <c r="B374" s="18" t="s">
        <v>486</v>
      </c>
      <c r="C374" s="15">
        <v>1</v>
      </c>
      <c r="D374" s="15">
        <v>1</v>
      </c>
      <c r="E374" s="19">
        <v>34</v>
      </c>
      <c r="F374" s="21">
        <v>33</v>
      </c>
    </row>
    <row r="375" spans="1:6" ht="72" thickBot="1">
      <c r="A375" s="15">
        <v>792891</v>
      </c>
      <c r="B375" s="18" t="s">
        <v>487</v>
      </c>
      <c r="C375" s="15">
        <v>1</v>
      </c>
      <c r="D375" s="15">
        <v>1</v>
      </c>
      <c r="E375" s="19">
        <v>53</v>
      </c>
      <c r="F375" s="21">
        <v>52</v>
      </c>
    </row>
    <row r="376" spans="1:6" ht="72" thickBot="1">
      <c r="A376" s="15">
        <v>792892</v>
      </c>
      <c r="B376" s="18" t="s">
        <v>488</v>
      </c>
      <c r="C376" s="15">
        <v>1</v>
      </c>
      <c r="D376" s="15">
        <v>1</v>
      </c>
      <c r="E376" s="19">
        <v>48</v>
      </c>
      <c r="F376" s="21">
        <v>47</v>
      </c>
    </row>
    <row r="377" spans="1:6" ht="72" thickBot="1">
      <c r="A377" s="15">
        <v>792893</v>
      </c>
      <c r="B377" s="18" t="s">
        <v>489</v>
      </c>
      <c r="C377" s="15">
        <v>1</v>
      </c>
      <c r="D377" s="15">
        <v>1</v>
      </c>
      <c r="E377" s="19">
        <v>17</v>
      </c>
      <c r="F377" s="21">
        <v>16</v>
      </c>
    </row>
    <row r="378" spans="1:6" ht="72" thickBot="1">
      <c r="A378" s="15">
        <v>792908</v>
      </c>
      <c r="B378" s="18" t="s">
        <v>490</v>
      </c>
      <c r="C378" s="15">
        <v>1</v>
      </c>
      <c r="D378" s="15">
        <v>1</v>
      </c>
      <c r="E378" s="19">
        <v>56</v>
      </c>
      <c r="F378" s="21">
        <v>55</v>
      </c>
    </row>
    <row r="379" spans="1:6" ht="72" thickBot="1">
      <c r="A379" s="15">
        <v>792909</v>
      </c>
      <c r="B379" s="18" t="s">
        <v>491</v>
      </c>
      <c r="C379" s="15">
        <v>1</v>
      </c>
      <c r="D379" s="15">
        <v>1</v>
      </c>
      <c r="E379" s="19">
        <v>53</v>
      </c>
      <c r="F379" s="21">
        <v>52</v>
      </c>
    </row>
    <row r="380" spans="1:6" ht="72" thickBot="1">
      <c r="A380" s="15">
        <v>792910</v>
      </c>
      <c r="B380" s="18" t="s">
        <v>492</v>
      </c>
      <c r="C380" s="15">
        <v>1</v>
      </c>
      <c r="D380" s="15">
        <v>1</v>
      </c>
      <c r="E380" s="19">
        <v>31</v>
      </c>
      <c r="F380" s="21">
        <v>30</v>
      </c>
    </row>
    <row r="381" spans="1:6" ht="57.75" thickBot="1">
      <c r="A381" s="15">
        <v>792934</v>
      </c>
      <c r="B381" s="18" t="s">
        <v>493</v>
      </c>
      <c r="C381" s="15">
        <v>49</v>
      </c>
      <c r="D381" s="15">
        <v>49</v>
      </c>
      <c r="E381" s="17">
        <v>20</v>
      </c>
      <c r="F381" s="21">
        <v>19</v>
      </c>
    </row>
    <row r="382" spans="1:6" ht="72" thickBot="1">
      <c r="A382" s="15">
        <v>792942</v>
      </c>
      <c r="B382" s="18" t="s">
        <v>494</v>
      </c>
      <c r="C382" s="15">
        <v>1</v>
      </c>
      <c r="D382" s="15">
        <v>1</v>
      </c>
      <c r="E382" s="19">
        <v>56</v>
      </c>
      <c r="F382" s="21">
        <v>55</v>
      </c>
    </row>
    <row r="383" spans="1:6" ht="72" thickBot="1">
      <c r="A383" s="15">
        <v>792944</v>
      </c>
      <c r="B383" s="18" t="s">
        <v>495</v>
      </c>
      <c r="C383" s="15">
        <v>1</v>
      </c>
      <c r="D383" s="15">
        <v>1</v>
      </c>
      <c r="E383" s="19">
        <v>42</v>
      </c>
      <c r="F383" s="21">
        <v>41</v>
      </c>
    </row>
    <row r="384" spans="1:6" ht="72" thickBot="1">
      <c r="A384" s="15">
        <v>792945</v>
      </c>
      <c r="B384" s="18" t="s">
        <v>496</v>
      </c>
      <c r="C384" s="15">
        <v>1</v>
      </c>
      <c r="D384" s="15">
        <v>1</v>
      </c>
      <c r="E384" s="19">
        <v>53</v>
      </c>
      <c r="F384" s="21">
        <v>52</v>
      </c>
    </row>
    <row r="385" spans="1:6" ht="72" thickBot="1">
      <c r="A385" s="15">
        <v>792946</v>
      </c>
      <c r="B385" s="18" t="s">
        <v>497</v>
      </c>
      <c r="C385" s="15">
        <v>1</v>
      </c>
      <c r="D385" s="15">
        <v>1</v>
      </c>
      <c r="E385" s="19">
        <v>25</v>
      </c>
      <c r="F385" s="21">
        <v>24</v>
      </c>
    </row>
    <row r="386" spans="1:6" ht="72" thickBot="1">
      <c r="A386" s="15">
        <v>792947</v>
      </c>
      <c r="B386" s="18" t="s">
        <v>498</v>
      </c>
      <c r="C386" s="15">
        <v>1</v>
      </c>
      <c r="D386" s="15">
        <v>1</v>
      </c>
      <c r="E386" s="19">
        <v>22</v>
      </c>
      <c r="F386" s="21">
        <v>21</v>
      </c>
    </row>
    <row r="387" spans="1:6" ht="72" thickBot="1">
      <c r="A387" s="15">
        <v>792948</v>
      </c>
      <c r="B387" s="18" t="s">
        <v>499</v>
      </c>
      <c r="C387" s="15">
        <v>1</v>
      </c>
      <c r="D387" s="15">
        <v>1</v>
      </c>
      <c r="E387" s="19">
        <v>37</v>
      </c>
      <c r="F387" s="21">
        <v>36</v>
      </c>
    </row>
    <row r="388" spans="1:6" ht="72" thickBot="1">
      <c r="A388" s="15">
        <v>792949</v>
      </c>
      <c r="B388" s="18" t="s">
        <v>500</v>
      </c>
      <c r="C388" s="15">
        <v>1</v>
      </c>
      <c r="D388" s="15">
        <v>1</v>
      </c>
      <c r="E388" s="19">
        <v>49</v>
      </c>
      <c r="F388" s="21">
        <v>48</v>
      </c>
    </row>
    <row r="389" spans="1:6" ht="72" thickBot="1">
      <c r="A389" s="15">
        <v>792950</v>
      </c>
      <c r="B389" s="18" t="s">
        <v>501</v>
      </c>
      <c r="C389" s="15">
        <v>1</v>
      </c>
      <c r="D389" s="15">
        <v>1</v>
      </c>
      <c r="E389" s="19">
        <v>38</v>
      </c>
      <c r="F389" s="21">
        <v>37</v>
      </c>
    </row>
    <row r="390" spans="1:6" ht="72" thickBot="1">
      <c r="A390" s="15">
        <v>792952</v>
      </c>
      <c r="B390" s="18" t="s">
        <v>502</v>
      </c>
      <c r="C390" s="15">
        <v>1</v>
      </c>
      <c r="D390" s="15">
        <v>1</v>
      </c>
      <c r="E390" s="19">
        <v>39</v>
      </c>
      <c r="F390" s="21">
        <v>38</v>
      </c>
    </row>
    <row r="391" spans="1:6" ht="72" thickBot="1">
      <c r="A391" s="15">
        <v>792953</v>
      </c>
      <c r="B391" s="18" t="s">
        <v>503</v>
      </c>
      <c r="C391" s="15">
        <v>1</v>
      </c>
      <c r="D391" s="15">
        <v>1</v>
      </c>
      <c r="E391" s="19">
        <v>46</v>
      </c>
      <c r="F391" s="21">
        <v>45</v>
      </c>
    </row>
    <row r="392" spans="1:6" ht="72" thickBot="1">
      <c r="A392" s="15">
        <v>792954</v>
      </c>
      <c r="B392" s="18" t="s">
        <v>504</v>
      </c>
      <c r="C392" s="15">
        <v>1</v>
      </c>
      <c r="D392" s="15">
        <v>1</v>
      </c>
      <c r="E392" s="19">
        <v>64</v>
      </c>
      <c r="F392" s="21">
        <v>63</v>
      </c>
    </row>
    <row r="393" spans="1:6" ht="72" thickBot="1">
      <c r="A393" s="15">
        <v>792955</v>
      </c>
      <c r="B393" s="18" t="s">
        <v>505</v>
      </c>
      <c r="C393" s="15">
        <v>1</v>
      </c>
      <c r="D393" s="15">
        <v>1</v>
      </c>
      <c r="E393" s="19">
        <v>15</v>
      </c>
      <c r="F393" s="21">
        <v>14</v>
      </c>
    </row>
    <row r="394" spans="1:6" ht="72" thickBot="1">
      <c r="A394" s="15">
        <v>792956</v>
      </c>
      <c r="B394" s="18" t="s">
        <v>506</v>
      </c>
      <c r="C394" s="15">
        <v>1</v>
      </c>
      <c r="D394" s="15">
        <v>1</v>
      </c>
      <c r="E394" s="19">
        <v>42</v>
      </c>
      <c r="F394" s="21">
        <v>41</v>
      </c>
    </row>
    <row r="395" spans="1:6" ht="72" thickBot="1">
      <c r="A395" s="15">
        <v>792957</v>
      </c>
      <c r="B395" s="18" t="s">
        <v>507</v>
      </c>
      <c r="C395" s="15">
        <v>1</v>
      </c>
      <c r="D395" s="15">
        <v>1</v>
      </c>
      <c r="E395" s="19">
        <v>46</v>
      </c>
      <c r="F395" s="21">
        <v>45</v>
      </c>
    </row>
    <row r="396" spans="1:6" ht="72" thickBot="1">
      <c r="A396" s="15">
        <v>792958</v>
      </c>
      <c r="B396" s="18" t="s">
        <v>508</v>
      </c>
      <c r="C396" s="15">
        <v>1</v>
      </c>
      <c r="D396" s="15">
        <v>1</v>
      </c>
      <c r="E396" s="19">
        <v>51</v>
      </c>
      <c r="F396" s="21">
        <v>50</v>
      </c>
    </row>
    <row r="397" spans="1:6" ht="72" thickBot="1">
      <c r="A397" s="15">
        <v>792959</v>
      </c>
      <c r="B397" s="18" t="s">
        <v>509</v>
      </c>
      <c r="C397" s="15">
        <v>1</v>
      </c>
      <c r="D397" s="15">
        <v>1</v>
      </c>
      <c r="E397" s="19">
        <v>51</v>
      </c>
      <c r="F397" s="21">
        <v>50</v>
      </c>
    </row>
    <row r="398" spans="1:6" ht="72" thickBot="1">
      <c r="A398" s="15">
        <v>792960</v>
      </c>
      <c r="B398" s="18" t="s">
        <v>510</v>
      </c>
      <c r="C398" s="15">
        <v>1</v>
      </c>
      <c r="D398" s="15">
        <v>1</v>
      </c>
      <c r="E398" s="19">
        <v>51</v>
      </c>
      <c r="F398" s="21">
        <v>50</v>
      </c>
    </row>
    <row r="399" spans="1:6" ht="72" thickBot="1">
      <c r="A399" s="15">
        <v>792961</v>
      </c>
      <c r="B399" s="18" t="s">
        <v>511</v>
      </c>
      <c r="C399" s="15">
        <v>1</v>
      </c>
      <c r="D399" s="15">
        <v>1</v>
      </c>
      <c r="E399" s="19">
        <v>48</v>
      </c>
      <c r="F399" s="21">
        <v>47</v>
      </c>
    </row>
    <row r="400" spans="1:6" ht="72" thickBot="1">
      <c r="A400" s="15">
        <v>792962</v>
      </c>
      <c r="B400" s="18" t="s">
        <v>512</v>
      </c>
      <c r="C400" s="15">
        <v>1</v>
      </c>
      <c r="D400" s="15">
        <v>1</v>
      </c>
      <c r="E400" s="19">
        <v>30</v>
      </c>
      <c r="F400" s="21">
        <v>29</v>
      </c>
    </row>
    <row r="401" spans="1:6" ht="72" thickBot="1">
      <c r="A401" s="15">
        <v>792963</v>
      </c>
      <c r="B401" s="18" t="s">
        <v>513</v>
      </c>
      <c r="C401" s="15">
        <v>1</v>
      </c>
      <c r="D401" s="15">
        <v>1</v>
      </c>
      <c r="E401" s="19">
        <v>24</v>
      </c>
      <c r="F401" s="21">
        <v>23</v>
      </c>
    </row>
    <row r="402" spans="1:6" ht="72" thickBot="1">
      <c r="A402" s="15">
        <v>792964</v>
      </c>
      <c r="B402" s="18" t="s">
        <v>514</v>
      </c>
      <c r="C402" s="15">
        <v>1</v>
      </c>
      <c r="D402" s="15">
        <v>1</v>
      </c>
      <c r="E402" s="19">
        <v>48</v>
      </c>
      <c r="F402" s="21">
        <v>47</v>
      </c>
    </row>
    <row r="403" spans="1:6" ht="72" thickBot="1">
      <c r="A403" s="15">
        <v>792965</v>
      </c>
      <c r="B403" s="18" t="s">
        <v>515</v>
      </c>
      <c r="C403" s="15">
        <v>1</v>
      </c>
      <c r="D403" s="15">
        <v>1</v>
      </c>
      <c r="E403" s="19">
        <v>49</v>
      </c>
      <c r="F403" s="21">
        <v>48</v>
      </c>
    </row>
    <row r="404" spans="1:6" ht="72" thickBot="1">
      <c r="A404" s="15">
        <v>792966</v>
      </c>
      <c r="B404" s="18" t="s">
        <v>516</v>
      </c>
      <c r="C404" s="15">
        <v>1</v>
      </c>
      <c r="D404" s="15">
        <v>1</v>
      </c>
      <c r="E404" s="19">
        <v>67</v>
      </c>
      <c r="F404" s="21">
        <v>66</v>
      </c>
    </row>
    <row r="405" spans="1:6" ht="72" thickBot="1">
      <c r="A405" s="15">
        <v>792967</v>
      </c>
      <c r="B405" s="18" t="s">
        <v>517</v>
      </c>
      <c r="C405" s="15">
        <v>1</v>
      </c>
      <c r="D405" s="15">
        <v>1</v>
      </c>
      <c r="E405" s="19">
        <v>43</v>
      </c>
      <c r="F405" s="21">
        <v>42</v>
      </c>
    </row>
    <row r="406" spans="1:6" ht="72" thickBot="1">
      <c r="A406" s="15">
        <v>792968</v>
      </c>
      <c r="B406" s="18" t="s">
        <v>518</v>
      </c>
      <c r="C406" s="15">
        <v>1</v>
      </c>
      <c r="D406" s="15">
        <v>1</v>
      </c>
      <c r="E406" s="19">
        <v>32</v>
      </c>
      <c r="F406" s="21">
        <v>31</v>
      </c>
    </row>
    <row r="407" spans="1:6" ht="72" thickBot="1">
      <c r="A407" s="15">
        <v>792969</v>
      </c>
      <c r="B407" s="18" t="s">
        <v>519</v>
      </c>
      <c r="C407" s="15">
        <v>1</v>
      </c>
      <c r="D407" s="15">
        <v>1</v>
      </c>
      <c r="E407" s="19">
        <v>39</v>
      </c>
      <c r="F407" s="21">
        <v>38</v>
      </c>
    </row>
    <row r="408" spans="1:6" ht="72" thickBot="1">
      <c r="A408" s="15">
        <v>792970</v>
      </c>
      <c r="B408" s="18" t="s">
        <v>520</v>
      </c>
      <c r="C408" s="15">
        <v>1</v>
      </c>
      <c r="D408" s="15">
        <v>1</v>
      </c>
      <c r="E408" s="19">
        <v>70</v>
      </c>
      <c r="F408" s="21">
        <v>69</v>
      </c>
    </row>
    <row r="409" spans="1:6" ht="72" thickBot="1">
      <c r="A409" s="15">
        <v>792981</v>
      </c>
      <c r="B409" s="18" t="s">
        <v>521</v>
      </c>
      <c r="C409" s="15">
        <v>1</v>
      </c>
      <c r="D409" s="15">
        <v>1</v>
      </c>
      <c r="E409" s="19">
        <v>41</v>
      </c>
      <c r="F409" s="21">
        <v>40</v>
      </c>
    </row>
    <row r="410" spans="1:6" ht="72" thickBot="1">
      <c r="A410" s="15">
        <v>792982</v>
      </c>
      <c r="B410" s="18" t="s">
        <v>522</v>
      </c>
      <c r="C410" s="15">
        <v>1</v>
      </c>
      <c r="D410" s="15">
        <v>1</v>
      </c>
      <c r="E410" s="19">
        <v>40</v>
      </c>
      <c r="F410" s="21">
        <v>39</v>
      </c>
    </row>
    <row r="411" spans="1:6" ht="72" thickBot="1">
      <c r="A411" s="15">
        <v>792983</v>
      </c>
      <c r="B411" s="18" t="s">
        <v>523</v>
      </c>
      <c r="C411" s="15">
        <v>1</v>
      </c>
      <c r="D411" s="15">
        <v>1</v>
      </c>
      <c r="E411" s="19">
        <v>52</v>
      </c>
      <c r="F411" s="21">
        <v>51</v>
      </c>
    </row>
    <row r="412" spans="1:6" ht="72" thickBot="1">
      <c r="A412" s="15">
        <v>792984</v>
      </c>
      <c r="B412" s="18" t="s">
        <v>524</v>
      </c>
      <c r="C412" s="15">
        <v>1</v>
      </c>
      <c r="D412" s="15">
        <v>1</v>
      </c>
      <c r="E412" s="19">
        <v>46</v>
      </c>
      <c r="F412" s="21">
        <v>45</v>
      </c>
    </row>
    <row r="413" spans="1:6" ht="72" thickBot="1">
      <c r="A413" s="15">
        <v>792985</v>
      </c>
      <c r="B413" s="18" t="s">
        <v>525</v>
      </c>
      <c r="C413" s="15">
        <v>1</v>
      </c>
      <c r="D413" s="15">
        <v>1</v>
      </c>
      <c r="E413" s="19">
        <v>52</v>
      </c>
      <c r="F413" s="21">
        <v>51</v>
      </c>
    </row>
    <row r="414" spans="1:6" ht="72" thickBot="1">
      <c r="A414" s="15">
        <v>792986</v>
      </c>
      <c r="B414" s="18" t="s">
        <v>526</v>
      </c>
      <c r="C414" s="15">
        <v>1</v>
      </c>
      <c r="D414" s="15">
        <v>1</v>
      </c>
      <c r="E414" s="19">
        <v>23</v>
      </c>
      <c r="F414" s="21">
        <v>22</v>
      </c>
    </row>
    <row r="415" spans="1:6" ht="72" thickBot="1">
      <c r="A415" s="15">
        <v>792987</v>
      </c>
      <c r="B415" s="18" t="s">
        <v>527</v>
      </c>
      <c r="C415" s="15">
        <v>1</v>
      </c>
      <c r="D415" s="15">
        <v>1</v>
      </c>
      <c r="E415" s="19">
        <v>45</v>
      </c>
      <c r="F415" s="21">
        <v>44</v>
      </c>
    </row>
    <row r="416" spans="1:6" ht="72" thickBot="1">
      <c r="A416" s="15">
        <v>792989</v>
      </c>
      <c r="B416" s="18" t="s">
        <v>528</v>
      </c>
      <c r="C416" s="15">
        <v>1</v>
      </c>
      <c r="D416" s="15">
        <v>1</v>
      </c>
      <c r="E416" s="19">
        <v>41</v>
      </c>
      <c r="F416" s="21">
        <v>40</v>
      </c>
    </row>
    <row r="417" spans="1:6" ht="72" thickBot="1">
      <c r="A417" s="15">
        <v>792990</v>
      </c>
      <c r="B417" s="18" t="s">
        <v>529</v>
      </c>
      <c r="C417" s="15">
        <v>1</v>
      </c>
      <c r="D417" s="15">
        <v>1</v>
      </c>
      <c r="E417" s="19">
        <v>25</v>
      </c>
      <c r="F417" s="21">
        <v>24</v>
      </c>
    </row>
    <row r="418" spans="1:6" ht="72" thickBot="1">
      <c r="A418" s="15">
        <v>792991</v>
      </c>
      <c r="B418" s="18" t="s">
        <v>530</v>
      </c>
      <c r="C418" s="15">
        <v>1</v>
      </c>
      <c r="D418" s="15">
        <v>1</v>
      </c>
      <c r="E418" s="19">
        <v>43</v>
      </c>
      <c r="F418" s="21">
        <v>42</v>
      </c>
    </row>
    <row r="419" spans="1:6" ht="72" thickBot="1">
      <c r="A419" s="15">
        <v>792994</v>
      </c>
      <c r="B419" s="18" t="s">
        <v>531</v>
      </c>
      <c r="C419" s="15">
        <v>1</v>
      </c>
      <c r="D419" s="15">
        <v>1</v>
      </c>
      <c r="E419" s="19">
        <v>39</v>
      </c>
      <c r="F419" s="21">
        <v>38</v>
      </c>
    </row>
    <row r="420" spans="1:6" ht="72" thickBot="1">
      <c r="A420" s="15">
        <v>792995</v>
      </c>
      <c r="B420" s="18" t="s">
        <v>532</v>
      </c>
      <c r="C420" s="15">
        <v>1</v>
      </c>
      <c r="D420" s="15">
        <v>1</v>
      </c>
      <c r="E420" s="19">
        <v>20</v>
      </c>
      <c r="F420" s="21">
        <v>19</v>
      </c>
    </row>
    <row r="421" spans="1:6" ht="72" thickBot="1">
      <c r="A421" s="15">
        <v>792996</v>
      </c>
      <c r="B421" s="18" t="s">
        <v>533</v>
      </c>
      <c r="C421" s="15">
        <v>1</v>
      </c>
      <c r="D421" s="15">
        <v>1</v>
      </c>
      <c r="E421" s="19">
        <v>43</v>
      </c>
      <c r="F421" s="21">
        <v>42</v>
      </c>
    </row>
    <row r="422" spans="1:6" ht="72" thickBot="1">
      <c r="A422" s="15">
        <v>792997</v>
      </c>
      <c r="B422" s="18" t="s">
        <v>534</v>
      </c>
      <c r="C422" s="15">
        <v>1</v>
      </c>
      <c r="D422" s="15">
        <v>1</v>
      </c>
      <c r="E422" s="19">
        <v>23</v>
      </c>
      <c r="F422" s="21">
        <v>22</v>
      </c>
    </row>
    <row r="423" spans="1:6" ht="72" thickBot="1">
      <c r="A423" s="15">
        <v>792998</v>
      </c>
      <c r="B423" s="18" t="s">
        <v>535</v>
      </c>
      <c r="C423" s="15">
        <v>1</v>
      </c>
      <c r="D423" s="15">
        <v>1</v>
      </c>
      <c r="E423" s="19">
        <v>34</v>
      </c>
      <c r="F423" s="21">
        <v>33</v>
      </c>
    </row>
    <row r="424" spans="1:6" ht="72" thickBot="1">
      <c r="A424" s="15">
        <v>792999</v>
      </c>
      <c r="B424" s="18" t="s">
        <v>536</v>
      </c>
      <c r="C424" s="15">
        <v>1</v>
      </c>
      <c r="D424" s="15">
        <v>1</v>
      </c>
      <c r="E424" s="19">
        <v>39</v>
      </c>
      <c r="F424" s="21">
        <v>38</v>
      </c>
    </row>
    <row r="425" spans="1:6" ht="72" thickBot="1">
      <c r="A425" s="15">
        <v>793000</v>
      </c>
      <c r="B425" s="18" t="s">
        <v>537</v>
      </c>
      <c r="C425" s="15">
        <v>1</v>
      </c>
      <c r="D425" s="15">
        <v>1</v>
      </c>
      <c r="E425" s="19">
        <v>34</v>
      </c>
      <c r="F425" s="21">
        <v>33</v>
      </c>
    </row>
    <row r="426" spans="1:6" ht="72" thickBot="1">
      <c r="A426" s="15">
        <v>793011</v>
      </c>
      <c r="B426" s="18" t="s">
        <v>538</v>
      </c>
      <c r="C426" s="15">
        <v>1</v>
      </c>
      <c r="D426" s="15">
        <v>1</v>
      </c>
      <c r="E426" s="19">
        <v>53</v>
      </c>
      <c r="F426" s="21">
        <v>52</v>
      </c>
    </row>
    <row r="427" spans="1:6" ht="72" thickBot="1">
      <c r="A427" s="15">
        <v>793012</v>
      </c>
      <c r="B427" s="18" t="s">
        <v>539</v>
      </c>
      <c r="C427" s="15">
        <v>1</v>
      </c>
      <c r="D427" s="15">
        <v>1</v>
      </c>
      <c r="E427" s="19">
        <v>50</v>
      </c>
      <c r="F427" s="21">
        <v>49</v>
      </c>
    </row>
    <row r="428" spans="1:6" ht="72" thickBot="1">
      <c r="A428" s="15">
        <v>793014</v>
      </c>
      <c r="B428" s="18" t="s">
        <v>540</v>
      </c>
      <c r="C428" s="15">
        <v>1</v>
      </c>
      <c r="D428" s="15">
        <v>1</v>
      </c>
      <c r="E428" s="19">
        <v>30</v>
      </c>
      <c r="F428" s="21">
        <v>29</v>
      </c>
    </row>
    <row r="429" spans="1:6" ht="72" thickBot="1">
      <c r="A429" s="15">
        <v>793032</v>
      </c>
      <c r="B429" s="18" t="s">
        <v>541</v>
      </c>
      <c r="C429" s="15">
        <v>42</v>
      </c>
      <c r="D429" s="15">
        <v>42</v>
      </c>
      <c r="E429" s="17">
        <v>20</v>
      </c>
      <c r="F429" s="21">
        <v>19</v>
      </c>
    </row>
    <row r="430" spans="1:6" ht="72" thickBot="1">
      <c r="A430" s="15">
        <v>793392</v>
      </c>
      <c r="B430" s="18" t="s">
        <v>542</v>
      </c>
      <c r="C430" s="15">
        <v>1</v>
      </c>
      <c r="D430" s="15">
        <v>1</v>
      </c>
      <c r="E430" s="19">
        <v>42</v>
      </c>
      <c r="F430" s="21">
        <v>41</v>
      </c>
    </row>
    <row r="431" spans="1:6" ht="72" thickBot="1">
      <c r="A431" s="15">
        <v>793393</v>
      </c>
      <c r="B431" s="18" t="s">
        <v>543</v>
      </c>
      <c r="C431" s="15">
        <v>1</v>
      </c>
      <c r="D431" s="15">
        <v>1</v>
      </c>
      <c r="E431" s="19">
        <v>27</v>
      </c>
      <c r="F431" s="21">
        <v>26</v>
      </c>
    </row>
    <row r="432" spans="1:6" ht="72" thickBot="1">
      <c r="A432" s="15">
        <v>793394</v>
      </c>
      <c r="B432" s="18" t="s">
        <v>544</v>
      </c>
      <c r="C432" s="15">
        <v>1</v>
      </c>
      <c r="D432" s="15">
        <v>1</v>
      </c>
      <c r="E432" s="19">
        <v>42</v>
      </c>
      <c r="F432" s="21">
        <v>41</v>
      </c>
    </row>
    <row r="433" spans="1:6" ht="86.25" thickBot="1">
      <c r="A433" s="15">
        <v>793395</v>
      </c>
      <c r="B433" s="18" t="s">
        <v>545</v>
      </c>
      <c r="C433" s="15">
        <v>1</v>
      </c>
      <c r="D433" s="15">
        <v>1</v>
      </c>
      <c r="E433" s="19">
        <v>33</v>
      </c>
      <c r="F433" s="21">
        <v>32</v>
      </c>
    </row>
    <row r="434" spans="1:6" ht="72" thickBot="1">
      <c r="A434" s="15">
        <v>793397</v>
      </c>
      <c r="B434" s="18" t="s">
        <v>546</v>
      </c>
      <c r="C434" s="15">
        <v>1</v>
      </c>
      <c r="D434" s="15">
        <v>1</v>
      </c>
      <c r="E434" s="19">
        <v>36</v>
      </c>
      <c r="F434" s="21">
        <v>35</v>
      </c>
    </row>
    <row r="435" spans="1:6" ht="72" thickBot="1">
      <c r="A435" s="15">
        <v>793399</v>
      </c>
      <c r="B435" s="18" t="s">
        <v>547</v>
      </c>
      <c r="C435" s="15">
        <v>1</v>
      </c>
      <c r="D435" s="15">
        <v>1</v>
      </c>
      <c r="E435" s="19">
        <v>57</v>
      </c>
      <c r="F435" s="21">
        <v>56</v>
      </c>
    </row>
    <row r="436" spans="1:6" ht="72" thickBot="1">
      <c r="A436" s="15">
        <v>793401</v>
      </c>
      <c r="B436" s="18" t="s">
        <v>548</v>
      </c>
      <c r="C436" s="15">
        <v>1</v>
      </c>
      <c r="D436" s="15">
        <v>1</v>
      </c>
      <c r="E436" s="19">
        <v>41</v>
      </c>
      <c r="F436" s="21">
        <v>40</v>
      </c>
    </row>
    <row r="437" spans="1:6" ht="72" thickBot="1">
      <c r="A437" s="15">
        <v>793402</v>
      </c>
      <c r="B437" s="18" t="s">
        <v>549</v>
      </c>
      <c r="C437" s="15">
        <v>1</v>
      </c>
      <c r="D437" s="15">
        <v>1</v>
      </c>
      <c r="E437" s="19">
        <v>46</v>
      </c>
      <c r="F437" s="21">
        <v>45</v>
      </c>
    </row>
    <row r="438" spans="1:6" ht="72" thickBot="1">
      <c r="A438" s="15">
        <v>793405</v>
      </c>
      <c r="B438" s="18" t="s">
        <v>550</v>
      </c>
      <c r="C438" s="15">
        <v>1</v>
      </c>
      <c r="D438" s="15">
        <v>1</v>
      </c>
      <c r="E438" s="19">
        <v>34</v>
      </c>
      <c r="F438" s="21">
        <v>33</v>
      </c>
    </row>
    <row r="439" spans="1:6" ht="72" thickBot="1">
      <c r="A439" s="15">
        <v>793407</v>
      </c>
      <c r="B439" s="18" t="s">
        <v>551</v>
      </c>
      <c r="C439" s="15">
        <v>1</v>
      </c>
      <c r="D439" s="15">
        <v>1</v>
      </c>
      <c r="E439" s="19">
        <v>53</v>
      </c>
      <c r="F439" s="21">
        <v>52</v>
      </c>
    </row>
    <row r="440" spans="1:6" ht="86.25" thickBot="1">
      <c r="A440" s="15">
        <v>793448</v>
      </c>
      <c r="B440" s="18" t="s">
        <v>552</v>
      </c>
      <c r="C440" s="15">
        <v>1</v>
      </c>
      <c r="D440" s="15">
        <v>1</v>
      </c>
      <c r="E440" s="19">
        <v>38</v>
      </c>
      <c r="F440" s="21">
        <v>37</v>
      </c>
    </row>
    <row r="441" spans="1:6" ht="86.25" thickBot="1">
      <c r="A441" s="15">
        <v>793449</v>
      </c>
      <c r="B441" s="18" t="s">
        <v>553</v>
      </c>
      <c r="C441" s="15">
        <v>1</v>
      </c>
      <c r="D441" s="15">
        <v>1</v>
      </c>
      <c r="E441" s="19">
        <v>49</v>
      </c>
      <c r="F441" s="21">
        <v>48</v>
      </c>
    </row>
    <row r="442" spans="1:6" ht="72" thickBot="1">
      <c r="A442" s="15">
        <v>793450</v>
      </c>
      <c r="B442" s="18" t="s">
        <v>554</v>
      </c>
      <c r="C442" s="15">
        <v>1</v>
      </c>
      <c r="D442" s="15">
        <v>1</v>
      </c>
      <c r="E442" s="19">
        <v>82</v>
      </c>
      <c r="F442" s="21">
        <v>81</v>
      </c>
    </row>
    <row r="443" spans="1:6" ht="72" thickBot="1">
      <c r="A443" s="15">
        <v>793497</v>
      </c>
      <c r="B443" s="18" t="s">
        <v>555</v>
      </c>
      <c r="C443" s="15">
        <v>42</v>
      </c>
      <c r="D443" s="15">
        <v>42</v>
      </c>
      <c r="E443" s="17">
        <v>20</v>
      </c>
      <c r="F443" s="21">
        <v>19</v>
      </c>
    </row>
    <row r="444" spans="1:6" ht="72" thickBot="1">
      <c r="A444" s="15">
        <v>793497</v>
      </c>
      <c r="B444" s="18" t="s">
        <v>555</v>
      </c>
      <c r="C444" s="15">
        <v>42</v>
      </c>
      <c r="D444" s="15">
        <v>42</v>
      </c>
      <c r="E444" s="17">
        <v>20</v>
      </c>
      <c r="F444" s="21">
        <v>19</v>
      </c>
    </row>
    <row r="445" spans="1:6" ht="86.25" thickBot="1">
      <c r="A445" s="15">
        <v>793501</v>
      </c>
      <c r="B445" s="18" t="s">
        <v>556</v>
      </c>
      <c r="C445" s="15">
        <v>1</v>
      </c>
      <c r="D445" s="15">
        <v>1</v>
      </c>
      <c r="E445" s="19">
        <v>44</v>
      </c>
      <c r="F445" s="21">
        <v>43</v>
      </c>
    </row>
    <row r="446" spans="1:6" ht="86.25" thickBot="1">
      <c r="A446" s="15">
        <v>793502</v>
      </c>
      <c r="B446" s="18" t="s">
        <v>557</v>
      </c>
      <c r="C446" s="15">
        <v>1</v>
      </c>
      <c r="D446" s="15">
        <v>1</v>
      </c>
      <c r="E446" s="19">
        <v>59</v>
      </c>
      <c r="F446" s="21">
        <v>58</v>
      </c>
    </row>
    <row r="447" spans="1:6" ht="86.25" thickBot="1">
      <c r="A447" s="15">
        <v>793503</v>
      </c>
      <c r="B447" s="18" t="s">
        <v>558</v>
      </c>
      <c r="C447" s="15">
        <v>1</v>
      </c>
      <c r="D447" s="15">
        <v>1</v>
      </c>
      <c r="E447" s="19">
        <v>55</v>
      </c>
      <c r="F447" s="21">
        <v>54</v>
      </c>
    </row>
    <row r="448" spans="1:6" ht="86.25" thickBot="1">
      <c r="A448" s="15">
        <v>793504</v>
      </c>
      <c r="B448" s="18" t="s">
        <v>559</v>
      </c>
      <c r="C448" s="15">
        <v>1</v>
      </c>
      <c r="D448" s="15">
        <v>1</v>
      </c>
      <c r="E448" s="19">
        <v>34</v>
      </c>
      <c r="F448" s="21">
        <v>33</v>
      </c>
    </row>
    <row r="449" spans="1:6" ht="86.25" thickBot="1">
      <c r="A449" s="15">
        <v>793505</v>
      </c>
      <c r="B449" s="18" t="s">
        <v>560</v>
      </c>
      <c r="C449" s="15">
        <v>1</v>
      </c>
      <c r="D449" s="15">
        <v>1</v>
      </c>
      <c r="E449" s="19">
        <v>41</v>
      </c>
      <c r="F449" s="21">
        <v>40</v>
      </c>
    </row>
    <row r="450" spans="1:6" ht="86.25" thickBot="1">
      <c r="A450" s="15">
        <v>793506</v>
      </c>
      <c r="B450" s="18" t="s">
        <v>561</v>
      </c>
      <c r="C450" s="15">
        <v>1</v>
      </c>
      <c r="D450" s="15">
        <v>1</v>
      </c>
      <c r="E450" s="19">
        <v>49</v>
      </c>
      <c r="F450" s="21">
        <v>48</v>
      </c>
    </row>
    <row r="451" spans="1:6" ht="86.25" thickBot="1">
      <c r="A451" s="15">
        <v>793507</v>
      </c>
      <c r="B451" s="18" t="s">
        <v>562</v>
      </c>
      <c r="C451" s="15">
        <v>1</v>
      </c>
      <c r="D451" s="15">
        <v>1</v>
      </c>
      <c r="E451" s="19">
        <v>58</v>
      </c>
      <c r="F451" s="21">
        <v>57</v>
      </c>
    </row>
    <row r="452" spans="1:6" ht="43.5" thickBot="1">
      <c r="A452" s="15">
        <v>793544</v>
      </c>
      <c r="B452" s="18" t="s">
        <v>563</v>
      </c>
      <c r="C452" s="15">
        <v>1</v>
      </c>
      <c r="D452" s="15">
        <v>1</v>
      </c>
      <c r="E452" s="19">
        <v>19</v>
      </c>
      <c r="F452" s="21">
        <v>18</v>
      </c>
    </row>
    <row r="453" spans="1:6" ht="86.25" thickBot="1">
      <c r="A453" s="15">
        <v>793568</v>
      </c>
      <c r="B453" s="18" t="s">
        <v>564</v>
      </c>
      <c r="C453" s="15">
        <v>1</v>
      </c>
      <c r="D453" s="15">
        <v>1</v>
      </c>
      <c r="E453" s="19">
        <v>61</v>
      </c>
      <c r="F453" s="21">
        <v>60</v>
      </c>
    </row>
    <row r="454" spans="1:6" ht="86.25" thickBot="1">
      <c r="A454" s="15">
        <v>793569</v>
      </c>
      <c r="B454" s="18" t="s">
        <v>565</v>
      </c>
      <c r="C454" s="15">
        <v>1</v>
      </c>
      <c r="D454" s="15">
        <v>1</v>
      </c>
      <c r="E454" s="19">
        <v>87</v>
      </c>
      <c r="F454" s="21">
        <v>86</v>
      </c>
    </row>
    <row r="455" spans="1:6" ht="86.25" thickBot="1">
      <c r="A455" s="15">
        <v>793570</v>
      </c>
      <c r="B455" s="18" t="s">
        <v>566</v>
      </c>
      <c r="C455" s="15">
        <v>1</v>
      </c>
      <c r="D455" s="15">
        <v>1</v>
      </c>
      <c r="E455" s="19">
        <v>76</v>
      </c>
      <c r="F455" s="21">
        <v>75</v>
      </c>
    </row>
    <row r="456" spans="1:6" ht="86.25" thickBot="1">
      <c r="A456" s="15">
        <v>793611</v>
      </c>
      <c r="B456" s="18" t="s">
        <v>567</v>
      </c>
      <c r="C456" s="15">
        <v>1</v>
      </c>
      <c r="D456" s="15">
        <v>1</v>
      </c>
      <c r="E456" s="19">
        <v>62</v>
      </c>
      <c r="F456" s="21">
        <v>61</v>
      </c>
    </row>
    <row r="457" spans="1:6" ht="86.25" thickBot="1">
      <c r="A457" s="15">
        <v>793612</v>
      </c>
      <c r="B457" s="18" t="s">
        <v>568</v>
      </c>
      <c r="C457" s="15">
        <v>1</v>
      </c>
      <c r="D457" s="15">
        <v>1</v>
      </c>
      <c r="E457" s="19">
        <v>40</v>
      </c>
      <c r="F457" s="21">
        <v>39</v>
      </c>
    </row>
    <row r="458" spans="1:6" ht="86.25" thickBot="1">
      <c r="A458" s="15">
        <v>793613</v>
      </c>
      <c r="B458" s="18" t="s">
        <v>569</v>
      </c>
      <c r="C458" s="15">
        <v>1</v>
      </c>
      <c r="D458" s="15">
        <v>1</v>
      </c>
      <c r="E458" s="19">
        <v>62</v>
      </c>
      <c r="F458" s="21">
        <v>61</v>
      </c>
    </row>
    <row r="459" spans="1:6" ht="86.25" thickBot="1">
      <c r="A459" s="15">
        <v>793614</v>
      </c>
      <c r="B459" s="18" t="s">
        <v>570</v>
      </c>
      <c r="C459" s="15">
        <v>1</v>
      </c>
      <c r="D459" s="15">
        <v>1</v>
      </c>
      <c r="E459" s="19">
        <v>29</v>
      </c>
      <c r="F459" s="21">
        <v>28</v>
      </c>
    </row>
    <row r="460" spans="1:6" ht="86.25" thickBot="1">
      <c r="A460" s="15">
        <v>793615</v>
      </c>
      <c r="B460" s="18" t="s">
        <v>571</v>
      </c>
      <c r="C460" s="15">
        <v>1</v>
      </c>
      <c r="D460" s="15">
        <v>1</v>
      </c>
      <c r="E460" s="19">
        <v>47</v>
      </c>
      <c r="F460" s="21">
        <v>46</v>
      </c>
    </row>
    <row r="461" spans="1:6" ht="100.5" thickBot="1">
      <c r="A461" s="15">
        <v>793616</v>
      </c>
      <c r="B461" s="18" t="s">
        <v>572</v>
      </c>
      <c r="C461" s="15">
        <v>1</v>
      </c>
      <c r="D461" s="15">
        <v>1</v>
      </c>
      <c r="E461" s="19">
        <v>30</v>
      </c>
      <c r="F461" s="21">
        <v>29</v>
      </c>
    </row>
    <row r="462" spans="1:6" ht="72" thickBot="1">
      <c r="A462" s="15">
        <v>793694</v>
      </c>
      <c r="B462" s="18" t="s">
        <v>573</v>
      </c>
      <c r="C462" s="15">
        <v>1</v>
      </c>
      <c r="D462" s="15">
        <v>1</v>
      </c>
      <c r="E462" s="19">
        <v>33</v>
      </c>
      <c r="F462" s="21">
        <v>32</v>
      </c>
    </row>
    <row r="463" spans="1:6" ht="57.75" thickBot="1">
      <c r="A463" s="15">
        <v>794477</v>
      </c>
      <c r="B463" s="18" t="s">
        <v>574</v>
      </c>
      <c r="C463" s="15">
        <v>96</v>
      </c>
      <c r="D463" s="15">
        <v>96</v>
      </c>
      <c r="E463" s="17">
        <v>20</v>
      </c>
      <c r="F463" s="21">
        <v>19</v>
      </c>
    </row>
    <row r="464" spans="1:6" ht="72" thickBot="1">
      <c r="A464" s="15">
        <v>794853</v>
      </c>
      <c r="B464" s="18" t="s">
        <v>575</v>
      </c>
      <c r="C464" s="15">
        <v>90</v>
      </c>
      <c r="D464" s="15">
        <v>90</v>
      </c>
      <c r="E464" s="17">
        <v>20</v>
      </c>
      <c r="F464" s="21">
        <v>19</v>
      </c>
    </row>
    <row r="465" spans="1:6" ht="72" thickBot="1">
      <c r="A465" s="15">
        <v>794854</v>
      </c>
      <c r="B465" s="18" t="s">
        <v>576</v>
      </c>
      <c r="C465" s="15">
        <v>90</v>
      </c>
      <c r="D465" s="15">
        <v>90</v>
      </c>
      <c r="E465" s="17">
        <v>20</v>
      </c>
      <c r="F465" s="21">
        <v>19</v>
      </c>
    </row>
    <row r="466" spans="1:6" ht="57.75" thickBot="1">
      <c r="A466" s="15">
        <v>795456</v>
      </c>
      <c r="B466" s="18" t="s">
        <v>577</v>
      </c>
      <c r="C466" s="15">
        <v>36</v>
      </c>
      <c r="D466" s="15">
        <v>36</v>
      </c>
      <c r="E466" s="17">
        <v>20</v>
      </c>
      <c r="F466" s="21">
        <v>19</v>
      </c>
    </row>
    <row r="467" spans="1:6" ht="29.25" thickBot="1">
      <c r="A467" s="15">
        <v>795510</v>
      </c>
      <c r="B467" s="18" t="s">
        <v>578</v>
      </c>
      <c r="C467" s="15">
        <v>1</v>
      </c>
      <c r="D467" s="15">
        <v>1</v>
      </c>
      <c r="E467" s="19">
        <v>44</v>
      </c>
      <c r="F467" s="21">
        <v>43</v>
      </c>
    </row>
    <row r="468" spans="1:6" ht="57.75" thickBot="1">
      <c r="A468" s="15">
        <v>795573</v>
      </c>
      <c r="B468" s="18" t="s">
        <v>579</v>
      </c>
      <c r="C468" s="15">
        <v>48</v>
      </c>
      <c r="D468" s="15">
        <v>48</v>
      </c>
      <c r="E468" s="17">
        <v>20</v>
      </c>
      <c r="F468" s="21">
        <v>19</v>
      </c>
    </row>
    <row r="469" spans="1:6" ht="39" thickBot="1">
      <c r="A469" s="15">
        <v>796484</v>
      </c>
      <c r="B469" s="16" t="s">
        <v>580</v>
      </c>
      <c r="C469" s="15">
        <v>36</v>
      </c>
      <c r="D469" s="15">
        <v>36</v>
      </c>
      <c r="E469" s="17">
        <v>20</v>
      </c>
      <c r="F469" s="21">
        <v>19</v>
      </c>
    </row>
    <row r="470" spans="1:6" ht="43.5" thickBot="1">
      <c r="A470" s="15">
        <v>796784</v>
      </c>
      <c r="B470" s="18" t="s">
        <v>581</v>
      </c>
      <c r="C470" s="15">
        <v>1</v>
      </c>
      <c r="D470" s="15">
        <v>1</v>
      </c>
      <c r="E470" s="19">
        <v>90</v>
      </c>
      <c r="F470" s="21">
        <v>89</v>
      </c>
    </row>
    <row r="471" spans="1:6" ht="100.5" thickBot="1">
      <c r="A471" s="15">
        <v>797213</v>
      </c>
      <c r="B471" s="18" t="s">
        <v>582</v>
      </c>
      <c r="C471" s="15">
        <v>1</v>
      </c>
      <c r="D471" s="15">
        <v>1</v>
      </c>
      <c r="E471" s="19">
        <v>67</v>
      </c>
      <c r="F471" s="21">
        <v>66</v>
      </c>
    </row>
    <row r="472" spans="1:6" ht="86.25" thickBot="1">
      <c r="A472" s="15">
        <v>797317</v>
      </c>
      <c r="B472" s="18" t="s">
        <v>94</v>
      </c>
      <c r="C472" s="15">
        <v>1</v>
      </c>
      <c r="D472" s="15">
        <v>1</v>
      </c>
      <c r="E472" s="19">
        <v>42</v>
      </c>
      <c r="F472" s="21">
        <v>41</v>
      </c>
    </row>
    <row r="473" spans="1:6" ht="86.25" thickBot="1">
      <c r="A473" s="15">
        <v>797318</v>
      </c>
      <c r="B473" s="18" t="s">
        <v>95</v>
      </c>
      <c r="C473" s="15">
        <v>1</v>
      </c>
      <c r="D473" s="15">
        <v>1</v>
      </c>
      <c r="E473" s="19">
        <v>25</v>
      </c>
      <c r="F473" s="21">
        <v>24</v>
      </c>
    </row>
    <row r="474" spans="1:6" ht="86.25" thickBot="1">
      <c r="A474" s="15">
        <v>797326</v>
      </c>
      <c r="B474" s="18" t="s">
        <v>96</v>
      </c>
      <c r="C474" s="15">
        <v>1</v>
      </c>
      <c r="D474" s="15">
        <v>1</v>
      </c>
      <c r="E474" s="19">
        <v>34</v>
      </c>
      <c r="F474" s="21">
        <v>33</v>
      </c>
    </row>
    <row r="475" spans="1:6" ht="86.25" thickBot="1">
      <c r="A475" s="15">
        <v>797327</v>
      </c>
      <c r="B475" s="22" t="s">
        <v>97</v>
      </c>
      <c r="C475" s="15">
        <v>1</v>
      </c>
      <c r="D475" s="15">
        <v>1</v>
      </c>
      <c r="E475" s="19">
        <v>27</v>
      </c>
      <c r="F475" s="21">
        <v>26</v>
      </c>
    </row>
    <row r="476" spans="1:6" ht="86.25" thickBot="1">
      <c r="A476" s="15">
        <v>797329</v>
      </c>
      <c r="B476" s="18" t="s">
        <v>98</v>
      </c>
      <c r="C476" s="15">
        <v>1</v>
      </c>
      <c r="D476" s="15">
        <v>1</v>
      </c>
      <c r="E476" s="19">
        <v>32</v>
      </c>
      <c r="F476" s="21">
        <v>31</v>
      </c>
    </row>
    <row r="477" spans="1:6" ht="86.25" thickBot="1">
      <c r="A477" s="15">
        <v>797341</v>
      </c>
      <c r="B477" s="18" t="s">
        <v>99</v>
      </c>
      <c r="C477" s="15">
        <v>1</v>
      </c>
      <c r="D477" s="15">
        <v>1</v>
      </c>
      <c r="E477" s="19">
        <v>28</v>
      </c>
      <c r="F477" s="21">
        <v>27</v>
      </c>
    </row>
    <row r="478" spans="1:6" ht="86.25" thickBot="1">
      <c r="A478" s="15">
        <v>797342</v>
      </c>
      <c r="B478" s="18" t="s">
        <v>100</v>
      </c>
      <c r="C478" s="15">
        <v>1</v>
      </c>
      <c r="D478" s="15">
        <v>1</v>
      </c>
      <c r="E478" s="19">
        <v>57</v>
      </c>
      <c r="F478" s="21">
        <v>56</v>
      </c>
    </row>
    <row r="479" spans="1:6" ht="86.25" thickBot="1">
      <c r="A479" s="15">
        <v>797343</v>
      </c>
      <c r="B479" s="18" t="s">
        <v>101</v>
      </c>
      <c r="C479" s="15">
        <v>1</v>
      </c>
      <c r="D479" s="15">
        <v>1</v>
      </c>
      <c r="E479" s="19">
        <v>82</v>
      </c>
      <c r="F479" s="21">
        <v>81</v>
      </c>
    </row>
    <row r="480" spans="1:6" ht="86.25" thickBot="1">
      <c r="A480" s="15">
        <v>797345</v>
      </c>
      <c r="B480" s="18" t="s">
        <v>102</v>
      </c>
      <c r="C480" s="15">
        <v>1</v>
      </c>
      <c r="D480" s="15">
        <v>1</v>
      </c>
      <c r="E480" s="19">
        <v>60</v>
      </c>
      <c r="F480" s="21">
        <v>59</v>
      </c>
    </row>
    <row r="481" spans="1:6" ht="86.25" thickBot="1">
      <c r="A481" s="15">
        <v>797351</v>
      </c>
      <c r="B481" s="18" t="s">
        <v>103</v>
      </c>
      <c r="C481" s="15">
        <v>1</v>
      </c>
      <c r="D481" s="15">
        <v>1</v>
      </c>
      <c r="E481" s="19">
        <v>64</v>
      </c>
      <c r="F481" s="21">
        <v>63</v>
      </c>
    </row>
    <row r="482" spans="1:6" ht="86.25" thickBot="1">
      <c r="A482" s="15">
        <v>797352</v>
      </c>
      <c r="B482" s="18" t="s">
        <v>104</v>
      </c>
      <c r="C482" s="15">
        <v>1</v>
      </c>
      <c r="D482" s="15">
        <v>1</v>
      </c>
      <c r="E482" s="19">
        <v>46</v>
      </c>
      <c r="F482" s="21">
        <v>45</v>
      </c>
    </row>
    <row r="483" spans="1:6" ht="86.25" thickBot="1">
      <c r="A483" s="15">
        <v>797361</v>
      </c>
      <c r="B483" s="18" t="s">
        <v>105</v>
      </c>
      <c r="C483" s="15">
        <v>1</v>
      </c>
      <c r="D483" s="15">
        <v>1</v>
      </c>
      <c r="E483" s="19">
        <v>69</v>
      </c>
      <c r="F483" s="21">
        <v>68</v>
      </c>
    </row>
    <row r="484" spans="1:6" ht="86.25" thickBot="1">
      <c r="A484" s="15">
        <v>797401</v>
      </c>
      <c r="B484" s="18" t="s">
        <v>106</v>
      </c>
      <c r="C484" s="15">
        <v>1</v>
      </c>
      <c r="D484" s="15">
        <v>1</v>
      </c>
      <c r="E484" s="19">
        <v>73</v>
      </c>
      <c r="F484" s="21">
        <v>72</v>
      </c>
    </row>
    <row r="485" spans="1:6" ht="86.25" thickBot="1">
      <c r="A485" s="15">
        <v>797441</v>
      </c>
      <c r="B485" s="18" t="s">
        <v>107</v>
      </c>
      <c r="C485" s="15">
        <v>1</v>
      </c>
      <c r="D485" s="15">
        <v>1</v>
      </c>
      <c r="E485" s="19">
        <v>34</v>
      </c>
      <c r="F485" s="21">
        <v>33</v>
      </c>
    </row>
    <row r="486" spans="1:6" ht="57.75" thickBot="1">
      <c r="A486" s="15">
        <v>797611</v>
      </c>
      <c r="B486" s="18" t="s">
        <v>108</v>
      </c>
      <c r="C486" s="15">
        <v>1</v>
      </c>
      <c r="D486" s="15">
        <v>1</v>
      </c>
      <c r="E486" s="19">
        <v>40</v>
      </c>
      <c r="F486" s="21">
        <v>39</v>
      </c>
    </row>
    <row r="487" spans="1:6" ht="57.75" thickBot="1">
      <c r="A487" s="15">
        <v>797751</v>
      </c>
      <c r="B487" s="18" t="s">
        <v>109</v>
      </c>
      <c r="C487" s="15">
        <v>64</v>
      </c>
      <c r="D487" s="15">
        <v>64</v>
      </c>
      <c r="E487" s="17">
        <v>20</v>
      </c>
      <c r="F487" s="21">
        <v>19</v>
      </c>
    </row>
    <row r="488" spans="1:6" ht="100.5" thickBot="1">
      <c r="A488" s="15">
        <v>797793</v>
      </c>
      <c r="B488" s="18" t="s">
        <v>110</v>
      </c>
      <c r="C488" s="15">
        <v>1</v>
      </c>
      <c r="D488" s="15">
        <v>1</v>
      </c>
      <c r="E488" s="19">
        <v>54</v>
      </c>
      <c r="F488" s="21">
        <v>53</v>
      </c>
    </row>
    <row r="489" spans="1:6" ht="86.25" thickBot="1">
      <c r="A489" s="15">
        <v>798114</v>
      </c>
      <c r="B489" s="18" t="s">
        <v>111</v>
      </c>
      <c r="C489" s="15">
        <v>1</v>
      </c>
      <c r="D489" s="15">
        <v>1</v>
      </c>
      <c r="E489" s="19">
        <v>18</v>
      </c>
      <c r="F489" s="21">
        <v>17</v>
      </c>
    </row>
    <row r="490" spans="1:6" ht="57.75" thickBot="1">
      <c r="A490" s="15">
        <v>798196</v>
      </c>
      <c r="B490" s="18" t="s">
        <v>112</v>
      </c>
      <c r="C490" s="15">
        <v>1</v>
      </c>
      <c r="D490" s="15">
        <v>1</v>
      </c>
      <c r="E490" s="19">
        <v>42</v>
      </c>
      <c r="F490" s="21">
        <v>41</v>
      </c>
    </row>
    <row r="491" spans="1:6" ht="57.75" thickBot="1">
      <c r="A491" s="15">
        <v>798218</v>
      </c>
      <c r="B491" s="18" t="s">
        <v>113</v>
      </c>
      <c r="C491" s="15">
        <v>1</v>
      </c>
      <c r="D491" s="15">
        <v>1</v>
      </c>
      <c r="E491" s="19">
        <v>39</v>
      </c>
      <c r="F491" s="21">
        <v>38</v>
      </c>
    </row>
    <row r="492" spans="1:6" ht="72" thickBot="1">
      <c r="A492" s="15">
        <v>798219</v>
      </c>
      <c r="B492" s="18" t="s">
        <v>114</v>
      </c>
      <c r="C492" s="15">
        <v>1</v>
      </c>
      <c r="D492" s="15">
        <v>1</v>
      </c>
      <c r="E492" s="19">
        <v>46</v>
      </c>
      <c r="F492" s="21">
        <v>45</v>
      </c>
    </row>
    <row r="493" spans="1:6" ht="86.25" thickBot="1">
      <c r="A493" s="15">
        <v>799286</v>
      </c>
      <c r="B493" s="18" t="s">
        <v>115</v>
      </c>
      <c r="C493" s="15">
        <v>1</v>
      </c>
      <c r="D493" s="15">
        <v>1</v>
      </c>
      <c r="E493" s="19">
        <v>2</v>
      </c>
      <c r="F493" s="21">
        <v>1</v>
      </c>
    </row>
    <row r="494" spans="1:6" ht="86.25" thickBot="1">
      <c r="A494" s="15">
        <v>799291</v>
      </c>
      <c r="B494" s="18" t="s">
        <v>116</v>
      </c>
      <c r="C494" s="15">
        <v>1</v>
      </c>
      <c r="D494" s="15">
        <v>1</v>
      </c>
      <c r="E494" s="19">
        <v>2</v>
      </c>
      <c r="F494" s="21">
        <v>1</v>
      </c>
    </row>
    <row r="495" spans="1:6" ht="72" thickBot="1">
      <c r="A495" s="15">
        <v>799637</v>
      </c>
      <c r="B495" s="18" t="s">
        <v>117</v>
      </c>
      <c r="C495" s="15">
        <v>1</v>
      </c>
      <c r="D495" s="15">
        <v>1</v>
      </c>
      <c r="E495" s="19">
        <v>20</v>
      </c>
      <c r="F495" s="21">
        <v>19</v>
      </c>
    </row>
    <row r="496" spans="1:6" ht="72" thickBot="1">
      <c r="A496" s="15">
        <v>799638</v>
      </c>
      <c r="B496" s="18" t="s">
        <v>118</v>
      </c>
      <c r="C496" s="15">
        <v>1</v>
      </c>
      <c r="D496" s="15">
        <v>1</v>
      </c>
      <c r="E496" s="19">
        <v>20</v>
      </c>
      <c r="F496" s="21">
        <v>19</v>
      </c>
    </row>
    <row r="497" spans="1:6" ht="43.5" thickBot="1">
      <c r="A497" s="15">
        <v>799717</v>
      </c>
      <c r="B497" s="18" t="s">
        <v>119</v>
      </c>
      <c r="C497" s="15">
        <v>1</v>
      </c>
      <c r="D497" s="15">
        <v>1</v>
      </c>
      <c r="E497" s="19">
        <v>67</v>
      </c>
      <c r="F497" s="21">
        <v>66</v>
      </c>
    </row>
    <row r="498" spans="1:6" ht="72" thickBot="1">
      <c r="A498" s="15">
        <v>799780</v>
      </c>
      <c r="B498" s="18" t="s">
        <v>120</v>
      </c>
      <c r="C498" s="15">
        <v>20</v>
      </c>
      <c r="D498" s="15">
        <v>20</v>
      </c>
      <c r="E498" s="17">
        <v>20</v>
      </c>
      <c r="F498" s="21">
        <v>19</v>
      </c>
    </row>
    <row r="499" spans="1:6" ht="72" thickBot="1">
      <c r="A499" s="15">
        <v>800044</v>
      </c>
      <c r="B499" s="18" t="s">
        <v>121</v>
      </c>
      <c r="C499" s="15">
        <v>42</v>
      </c>
      <c r="D499" s="15">
        <v>42</v>
      </c>
      <c r="E499" s="17">
        <v>20</v>
      </c>
      <c r="F499" s="21">
        <v>19</v>
      </c>
    </row>
    <row r="500" spans="1:6" ht="72" thickBot="1">
      <c r="A500" s="15">
        <v>800298</v>
      </c>
      <c r="B500" s="18" t="s">
        <v>122</v>
      </c>
      <c r="C500" s="15">
        <v>2</v>
      </c>
      <c r="D500" s="15">
        <v>2</v>
      </c>
      <c r="E500" s="17">
        <v>20</v>
      </c>
      <c r="F500" s="21">
        <v>19</v>
      </c>
    </row>
    <row r="501" spans="1:6" ht="86.25" thickBot="1">
      <c r="A501" s="15">
        <v>801013</v>
      </c>
      <c r="B501" s="18" t="s">
        <v>123</v>
      </c>
      <c r="C501" s="15">
        <v>1</v>
      </c>
      <c r="D501" s="15">
        <v>1</v>
      </c>
      <c r="E501" s="19">
        <v>48</v>
      </c>
      <c r="F501" s="21">
        <v>47</v>
      </c>
    </row>
    <row r="502" spans="1:6" ht="57.75" thickBot="1">
      <c r="A502" s="15">
        <v>801053</v>
      </c>
      <c r="B502" s="18" t="s">
        <v>124</v>
      </c>
      <c r="C502" s="15">
        <v>1</v>
      </c>
      <c r="D502" s="15">
        <v>1</v>
      </c>
      <c r="E502" s="19">
        <v>97</v>
      </c>
      <c r="F502" s="21">
        <v>96</v>
      </c>
    </row>
    <row r="503" spans="1:6" ht="72" thickBot="1">
      <c r="A503" s="15">
        <v>801160</v>
      </c>
      <c r="B503" s="18" t="s">
        <v>125</v>
      </c>
      <c r="C503" s="15">
        <v>1</v>
      </c>
      <c r="D503" s="15">
        <v>1</v>
      </c>
      <c r="E503" s="19">
        <v>33</v>
      </c>
      <c r="F503" s="21">
        <v>32</v>
      </c>
    </row>
    <row r="504" spans="1:6" ht="57.75" thickBot="1">
      <c r="A504" s="15">
        <v>801216</v>
      </c>
      <c r="B504" s="18" t="s">
        <v>126</v>
      </c>
      <c r="C504" s="15">
        <v>1</v>
      </c>
      <c r="D504" s="15">
        <v>1</v>
      </c>
      <c r="E504" s="19">
        <v>98</v>
      </c>
      <c r="F504" s="21">
        <v>97</v>
      </c>
    </row>
    <row r="505" spans="1:6" ht="100.5" thickBot="1">
      <c r="A505" s="15">
        <v>801536</v>
      </c>
      <c r="B505" s="18" t="s">
        <v>127</v>
      </c>
      <c r="C505" s="15">
        <v>1</v>
      </c>
      <c r="D505" s="15">
        <v>1</v>
      </c>
      <c r="E505" s="19">
        <v>80</v>
      </c>
      <c r="F505" s="21">
        <v>79</v>
      </c>
    </row>
    <row r="506" spans="1:6" ht="100.5" thickBot="1">
      <c r="A506" s="15">
        <v>801536</v>
      </c>
      <c r="B506" s="18" t="s">
        <v>127</v>
      </c>
      <c r="C506" s="15">
        <v>1</v>
      </c>
      <c r="D506" s="15">
        <v>1</v>
      </c>
      <c r="E506" s="19">
        <v>80</v>
      </c>
      <c r="F506" s="21">
        <v>79</v>
      </c>
    </row>
    <row r="507" spans="1:6" ht="100.5" thickBot="1">
      <c r="A507" s="15">
        <v>801564</v>
      </c>
      <c r="B507" s="18" t="s">
        <v>128</v>
      </c>
      <c r="C507" s="15">
        <v>1</v>
      </c>
      <c r="D507" s="15">
        <v>1</v>
      </c>
      <c r="E507" s="19">
        <v>32</v>
      </c>
      <c r="F507" s="21">
        <v>31</v>
      </c>
    </row>
    <row r="508" spans="1:6" ht="72" thickBot="1">
      <c r="A508" s="15">
        <v>801831</v>
      </c>
      <c r="B508" s="18" t="s">
        <v>129</v>
      </c>
      <c r="C508" s="15">
        <v>64</v>
      </c>
      <c r="D508" s="15">
        <v>64</v>
      </c>
      <c r="E508" s="17">
        <v>20</v>
      </c>
      <c r="F508" s="21">
        <v>19</v>
      </c>
    </row>
    <row r="509" spans="1:6" ht="57.75" thickBot="1">
      <c r="A509" s="15">
        <v>802055</v>
      </c>
      <c r="B509" s="18" t="s">
        <v>130</v>
      </c>
      <c r="C509" s="15">
        <v>144</v>
      </c>
      <c r="D509" s="15">
        <v>144</v>
      </c>
      <c r="E509" s="17">
        <v>20</v>
      </c>
      <c r="F509" s="21">
        <v>19</v>
      </c>
    </row>
    <row r="510" spans="1:6" ht="57.75" thickBot="1">
      <c r="A510" s="15">
        <v>802185</v>
      </c>
      <c r="B510" s="18" t="s">
        <v>131</v>
      </c>
      <c r="C510" s="15">
        <v>1</v>
      </c>
      <c r="D510" s="15">
        <v>1</v>
      </c>
      <c r="E510" s="19">
        <v>48</v>
      </c>
      <c r="F510" s="21">
        <v>47</v>
      </c>
    </row>
    <row r="511" spans="1:6" ht="86.25" thickBot="1">
      <c r="A511" s="15">
        <v>823446</v>
      </c>
      <c r="B511" s="18" t="s">
        <v>132</v>
      </c>
      <c r="C511" s="15">
        <v>1</v>
      </c>
      <c r="D511" s="15">
        <v>1</v>
      </c>
      <c r="E511" s="19">
        <v>47</v>
      </c>
      <c r="F511" s="21">
        <v>46</v>
      </c>
    </row>
    <row r="512" spans="1:6" ht="72" thickBot="1">
      <c r="A512" s="15">
        <v>823455</v>
      </c>
      <c r="B512" s="18" t="s">
        <v>133</v>
      </c>
      <c r="C512" s="15">
        <v>1</v>
      </c>
      <c r="D512" s="15">
        <v>1</v>
      </c>
      <c r="E512" s="19">
        <v>29</v>
      </c>
      <c r="F512" s="21">
        <v>28</v>
      </c>
    </row>
    <row r="513" spans="1:6" ht="72" thickBot="1">
      <c r="A513" s="15">
        <v>823459</v>
      </c>
      <c r="B513" s="18" t="s">
        <v>134</v>
      </c>
      <c r="C513" s="15">
        <v>1</v>
      </c>
      <c r="D513" s="15">
        <v>1</v>
      </c>
      <c r="E513" s="19">
        <v>14</v>
      </c>
      <c r="F513" s="21">
        <v>13</v>
      </c>
    </row>
    <row r="514" spans="1:6" ht="72" thickBot="1">
      <c r="A514" s="15">
        <v>824304</v>
      </c>
      <c r="B514" s="18" t="s">
        <v>144</v>
      </c>
      <c r="C514" s="15">
        <v>1</v>
      </c>
      <c r="D514" s="15">
        <v>1</v>
      </c>
      <c r="E514" s="19">
        <v>75</v>
      </c>
      <c r="F514" s="21">
        <v>74</v>
      </c>
    </row>
    <row r="515" spans="1:6" ht="86.25" thickBot="1">
      <c r="A515" s="15">
        <v>825050</v>
      </c>
      <c r="B515" s="18" t="s">
        <v>145</v>
      </c>
      <c r="C515" s="15">
        <v>1</v>
      </c>
      <c r="D515" s="15">
        <v>1</v>
      </c>
      <c r="E515" s="19">
        <v>61</v>
      </c>
      <c r="F515" s="21">
        <v>60</v>
      </c>
    </row>
    <row r="516" spans="1:6" ht="100.5" thickBot="1">
      <c r="A516" s="15">
        <v>825062</v>
      </c>
      <c r="B516" s="18" t="s">
        <v>146</v>
      </c>
      <c r="C516" s="15">
        <v>1</v>
      </c>
      <c r="D516" s="15">
        <v>1</v>
      </c>
      <c r="E516" s="19">
        <v>31</v>
      </c>
      <c r="F516" s="21">
        <v>30</v>
      </c>
    </row>
    <row r="517" spans="1:6" ht="72" thickBot="1">
      <c r="A517" s="15">
        <v>826679</v>
      </c>
      <c r="B517" s="18" t="s">
        <v>147</v>
      </c>
      <c r="C517" s="15">
        <v>1</v>
      </c>
      <c r="D517" s="15">
        <v>1</v>
      </c>
      <c r="E517" s="19">
        <v>56</v>
      </c>
      <c r="F517" s="21">
        <v>55</v>
      </c>
    </row>
    <row r="518" spans="1:6" ht="57.75" thickBot="1">
      <c r="A518" s="15">
        <v>828740</v>
      </c>
      <c r="B518" s="18" t="s">
        <v>148</v>
      </c>
      <c r="C518" s="15">
        <v>1</v>
      </c>
      <c r="D518" s="15">
        <v>1</v>
      </c>
      <c r="E518" s="19">
        <v>47</v>
      </c>
      <c r="F518" s="21">
        <v>46</v>
      </c>
    </row>
    <row r="519" spans="1:6" ht="72" thickBot="1">
      <c r="A519" s="15">
        <v>830422</v>
      </c>
      <c r="B519" s="18" t="s">
        <v>149</v>
      </c>
      <c r="C519" s="15">
        <v>1</v>
      </c>
      <c r="D519" s="15">
        <v>1</v>
      </c>
      <c r="E519" s="19">
        <v>90</v>
      </c>
      <c r="F519" s="21">
        <v>89</v>
      </c>
    </row>
    <row r="520" spans="1:6" ht="57.75" thickBot="1">
      <c r="A520" s="15">
        <v>838685</v>
      </c>
      <c r="B520" s="18" t="s">
        <v>150</v>
      </c>
      <c r="C520" s="15">
        <v>80</v>
      </c>
      <c r="D520" s="15">
        <v>80</v>
      </c>
      <c r="E520" s="17">
        <v>20</v>
      </c>
      <c r="F520" s="21">
        <v>19</v>
      </c>
    </row>
    <row r="521" spans="1:6" ht="72" thickBot="1">
      <c r="A521" s="15">
        <v>790080</v>
      </c>
      <c r="B521" s="18" t="s">
        <v>151</v>
      </c>
      <c r="C521" s="15">
        <v>80</v>
      </c>
      <c r="D521" s="15">
        <v>80</v>
      </c>
      <c r="E521" s="17">
        <v>20</v>
      </c>
      <c r="F521" s="21">
        <v>19</v>
      </c>
    </row>
    <row r="522" spans="1:6" ht="86.25" thickBot="1">
      <c r="A522" s="15">
        <v>785676</v>
      </c>
      <c r="B522" s="18" t="s">
        <v>152</v>
      </c>
      <c r="C522" s="15">
        <v>36</v>
      </c>
      <c r="D522" s="15">
        <v>36</v>
      </c>
      <c r="E522" s="17">
        <v>20</v>
      </c>
      <c r="F522" s="21">
        <v>19</v>
      </c>
    </row>
    <row r="523" spans="1:6" ht="86.25" thickBot="1">
      <c r="A523" s="15">
        <v>785675</v>
      </c>
      <c r="B523" s="18" t="s">
        <v>153</v>
      </c>
      <c r="C523" s="15">
        <v>36</v>
      </c>
      <c r="D523" s="15">
        <v>36</v>
      </c>
      <c r="E523" s="17">
        <v>20</v>
      </c>
      <c r="F523" s="21">
        <v>19</v>
      </c>
    </row>
    <row r="524" spans="1:6" ht="57.75" thickBot="1">
      <c r="A524" s="15">
        <v>735755</v>
      </c>
      <c r="B524" s="18" t="s">
        <v>154</v>
      </c>
      <c r="C524" s="15">
        <v>1</v>
      </c>
      <c r="D524" s="15">
        <v>1</v>
      </c>
      <c r="E524" s="20">
        <v>15</v>
      </c>
      <c r="F524" s="21">
        <v>14</v>
      </c>
    </row>
    <row r="525" spans="1:6" ht="72" thickBot="1">
      <c r="A525" s="15">
        <v>734421</v>
      </c>
      <c r="B525" s="18" t="s">
        <v>155</v>
      </c>
      <c r="C525" s="15">
        <v>1</v>
      </c>
      <c r="D525" s="15">
        <v>1</v>
      </c>
      <c r="E525" s="20">
        <v>15</v>
      </c>
      <c r="F525" s="21">
        <v>14</v>
      </c>
    </row>
    <row r="526" spans="1:6" ht="72" thickBot="1">
      <c r="A526" s="15">
        <v>734261</v>
      </c>
      <c r="B526" s="18" t="s">
        <v>156</v>
      </c>
      <c r="C526" s="15">
        <v>1</v>
      </c>
      <c r="D526" s="15">
        <v>1</v>
      </c>
      <c r="E526" s="20">
        <v>15</v>
      </c>
      <c r="F526" s="21">
        <v>14</v>
      </c>
    </row>
    <row r="527" spans="1:6" ht="72" thickBot="1">
      <c r="A527" s="15">
        <v>841231</v>
      </c>
      <c r="B527" s="18" t="s">
        <v>157</v>
      </c>
      <c r="C527" s="15">
        <v>1</v>
      </c>
      <c r="D527" s="15">
        <v>1</v>
      </c>
      <c r="E527" s="19">
        <v>8</v>
      </c>
      <c r="F527" s="21">
        <v>7</v>
      </c>
    </row>
    <row r="528" spans="1:6" ht="57.75" thickBot="1">
      <c r="A528" s="15">
        <v>841177</v>
      </c>
      <c r="B528" s="18" t="s">
        <v>158</v>
      </c>
      <c r="C528" s="15">
        <v>1</v>
      </c>
      <c r="D528" s="15">
        <v>1</v>
      </c>
      <c r="E528" s="19">
        <v>40</v>
      </c>
      <c r="F528" s="21">
        <v>39</v>
      </c>
    </row>
    <row r="529" spans="1:6" ht="72" thickBot="1">
      <c r="A529" s="15">
        <v>843130</v>
      </c>
      <c r="B529" s="18" t="s">
        <v>159</v>
      </c>
      <c r="C529" s="15">
        <v>72</v>
      </c>
      <c r="D529" s="15">
        <v>72</v>
      </c>
      <c r="E529" s="17">
        <v>20</v>
      </c>
      <c r="F529" s="21">
        <v>19</v>
      </c>
    </row>
    <row r="530" spans="1:6" ht="86.25" thickBot="1">
      <c r="A530" s="15">
        <v>736934</v>
      </c>
      <c r="B530" s="18" t="s">
        <v>160</v>
      </c>
      <c r="C530" s="15">
        <v>36</v>
      </c>
      <c r="D530" s="15">
        <v>36</v>
      </c>
      <c r="E530" s="17">
        <v>20</v>
      </c>
      <c r="F530" s="21">
        <v>19</v>
      </c>
    </row>
    <row r="531" spans="1:6" ht="57.75" thickBot="1">
      <c r="A531" s="15">
        <v>734500</v>
      </c>
      <c r="B531" s="18" t="s">
        <v>161</v>
      </c>
      <c r="C531" s="15">
        <v>1</v>
      </c>
      <c r="D531" s="15">
        <v>1</v>
      </c>
      <c r="E531" s="20">
        <v>15</v>
      </c>
      <c r="F531" s="21">
        <v>14</v>
      </c>
    </row>
    <row r="532" spans="1:6" ht="72" thickBot="1">
      <c r="A532" s="15">
        <v>843131</v>
      </c>
      <c r="B532" s="18" t="s">
        <v>162</v>
      </c>
      <c r="C532" s="15">
        <v>49</v>
      </c>
      <c r="D532" s="15">
        <v>49</v>
      </c>
      <c r="E532" s="17">
        <v>20</v>
      </c>
      <c r="F532" s="21">
        <v>19</v>
      </c>
    </row>
    <row r="533" spans="1:6" ht="86.25" thickBot="1">
      <c r="A533" s="15">
        <v>826897</v>
      </c>
      <c r="B533" s="18" t="s">
        <v>163</v>
      </c>
      <c r="C533" s="15">
        <v>1</v>
      </c>
      <c r="D533" s="15">
        <v>1</v>
      </c>
      <c r="E533" s="19">
        <v>19</v>
      </c>
      <c r="F533" s="21">
        <v>18</v>
      </c>
    </row>
    <row r="534" spans="1:6" ht="86.25" thickBot="1">
      <c r="A534" s="15">
        <v>826947</v>
      </c>
      <c r="B534" s="18" t="s">
        <v>164</v>
      </c>
      <c r="C534" s="15">
        <v>1</v>
      </c>
      <c r="D534" s="15">
        <v>1</v>
      </c>
      <c r="E534" s="19">
        <v>28</v>
      </c>
      <c r="F534" s="21">
        <v>27</v>
      </c>
    </row>
    <row r="535" spans="1:6" ht="72" thickBot="1">
      <c r="A535" s="15">
        <v>843128</v>
      </c>
      <c r="B535" s="18" t="s">
        <v>165</v>
      </c>
      <c r="C535" s="15">
        <v>72</v>
      </c>
      <c r="D535" s="15">
        <v>72</v>
      </c>
      <c r="E535" s="17">
        <v>20</v>
      </c>
      <c r="F535" s="21">
        <v>19</v>
      </c>
    </row>
    <row r="536" spans="1:6" ht="29.25" thickBot="1">
      <c r="A536" s="15">
        <v>734849</v>
      </c>
      <c r="B536" s="18" t="s">
        <v>593</v>
      </c>
      <c r="C536" s="15">
        <v>264</v>
      </c>
      <c r="D536" s="15">
        <v>264</v>
      </c>
      <c r="E536" s="20">
        <v>22</v>
      </c>
      <c r="F536" s="21">
        <v>21</v>
      </c>
    </row>
    <row r="537" spans="1:6" ht="86.25" thickBot="1">
      <c r="A537" s="15">
        <v>769366</v>
      </c>
      <c r="B537" s="18" t="s">
        <v>594</v>
      </c>
      <c r="C537" s="15">
        <v>180</v>
      </c>
      <c r="D537" s="15">
        <v>180</v>
      </c>
      <c r="E537" s="20">
        <v>14</v>
      </c>
      <c r="F537" s="21">
        <v>13</v>
      </c>
    </row>
    <row r="538" spans="1:6" ht="43.5" thickBot="1">
      <c r="A538" s="15">
        <v>841709</v>
      </c>
      <c r="B538" s="18" t="s">
        <v>595</v>
      </c>
      <c r="C538" s="15">
        <v>45</v>
      </c>
      <c r="D538" s="15">
        <v>45</v>
      </c>
      <c r="E538" s="20">
        <v>1</v>
      </c>
      <c r="F538" s="21">
        <v>0</v>
      </c>
    </row>
    <row r="539" spans="1:6" ht="72" thickBot="1">
      <c r="A539" s="15">
        <v>829641</v>
      </c>
      <c r="B539" s="18" t="s">
        <v>596</v>
      </c>
      <c r="C539" s="15">
        <v>130</v>
      </c>
      <c r="D539" s="15">
        <v>130</v>
      </c>
      <c r="E539" s="20">
        <v>1</v>
      </c>
      <c r="F539" s="21">
        <v>0</v>
      </c>
    </row>
    <row r="540" spans="1:6" ht="72" thickBot="1">
      <c r="A540" s="15">
        <v>851390</v>
      </c>
      <c r="B540" s="18" t="s">
        <v>597</v>
      </c>
      <c r="C540" s="15">
        <v>1</v>
      </c>
      <c r="D540" s="15">
        <v>1</v>
      </c>
      <c r="E540" s="19">
        <v>48</v>
      </c>
      <c r="F540" s="21">
        <v>47</v>
      </c>
    </row>
    <row r="541" spans="1:6" ht="72" thickBot="1">
      <c r="A541" s="15">
        <v>737133</v>
      </c>
      <c r="B541" s="18" t="s">
        <v>598</v>
      </c>
      <c r="C541" s="15">
        <v>1</v>
      </c>
      <c r="D541" s="15">
        <v>1</v>
      </c>
      <c r="E541" s="20">
        <v>1</v>
      </c>
      <c r="F541" s="21">
        <v>0</v>
      </c>
    </row>
    <row r="542" spans="1:6" ht="43.5" thickBot="1">
      <c r="A542" s="15">
        <v>839253</v>
      </c>
      <c r="B542" s="18" t="s">
        <v>599</v>
      </c>
      <c r="C542" s="15">
        <v>1</v>
      </c>
      <c r="D542" s="15">
        <v>1</v>
      </c>
      <c r="E542" s="19">
        <v>86</v>
      </c>
      <c r="F542" s="21">
        <v>85</v>
      </c>
    </row>
    <row r="543" spans="1:6" ht="86.25" thickBot="1">
      <c r="A543" s="15">
        <v>843741</v>
      </c>
      <c r="B543" s="18" t="s">
        <v>600</v>
      </c>
      <c r="C543" s="15">
        <v>1</v>
      </c>
      <c r="D543" s="15">
        <v>1</v>
      </c>
      <c r="E543" s="19">
        <v>7</v>
      </c>
      <c r="F543" s="21">
        <v>6</v>
      </c>
    </row>
    <row r="544" spans="1:6" ht="43.5" thickBot="1">
      <c r="A544" s="15">
        <v>844219</v>
      </c>
      <c r="B544" s="18" t="s">
        <v>601</v>
      </c>
      <c r="C544" s="15">
        <v>1</v>
      </c>
      <c r="D544" s="15">
        <v>1</v>
      </c>
      <c r="E544" s="19">
        <v>56</v>
      </c>
      <c r="F544" s="21">
        <v>55</v>
      </c>
    </row>
    <row r="545" spans="1:6" ht="72" thickBot="1">
      <c r="A545" s="15">
        <v>851390</v>
      </c>
      <c r="B545" s="18" t="s">
        <v>597</v>
      </c>
      <c r="C545" s="15">
        <v>1</v>
      </c>
      <c r="D545" s="15">
        <v>1</v>
      </c>
      <c r="E545" s="19">
        <v>48</v>
      </c>
      <c r="F545" s="21">
        <v>47</v>
      </c>
    </row>
    <row r="546" spans="1:6" ht="57.75" thickBot="1">
      <c r="A546" s="15">
        <v>844403</v>
      </c>
      <c r="B546" s="18" t="s">
        <v>602</v>
      </c>
      <c r="C546" s="15">
        <v>36</v>
      </c>
      <c r="D546" s="15">
        <v>36</v>
      </c>
      <c r="E546" s="17">
        <v>20</v>
      </c>
      <c r="F546" s="21">
        <v>19</v>
      </c>
    </row>
    <row r="547" spans="1:6" ht="72" thickBot="1">
      <c r="A547" s="15">
        <v>858593</v>
      </c>
      <c r="B547" s="18" t="s">
        <v>688</v>
      </c>
      <c r="C547" s="15">
        <v>1</v>
      </c>
      <c r="D547" s="15">
        <v>1</v>
      </c>
      <c r="E547" s="19">
        <v>23</v>
      </c>
      <c r="F547" s="21">
        <v>22</v>
      </c>
    </row>
    <row r="548" spans="1:6" ht="86.25" thickBot="1">
      <c r="A548" s="15">
        <v>844405</v>
      </c>
      <c r="B548" s="18" t="s">
        <v>689</v>
      </c>
      <c r="C548" s="15">
        <v>1</v>
      </c>
      <c r="D548" s="15">
        <v>1</v>
      </c>
      <c r="E548" s="19">
        <v>28</v>
      </c>
      <c r="F548" s="21">
        <v>27</v>
      </c>
    </row>
    <row r="549" spans="1:6" ht="72" thickBot="1">
      <c r="A549" s="15">
        <v>736704</v>
      </c>
      <c r="B549" s="18" t="s">
        <v>690</v>
      </c>
      <c r="C549" s="15">
        <v>1</v>
      </c>
      <c r="D549" s="15">
        <v>1</v>
      </c>
      <c r="E549" s="19">
        <v>17</v>
      </c>
      <c r="F549" s="21">
        <v>16</v>
      </c>
    </row>
    <row r="550" spans="1:6" ht="57.75" thickBot="1">
      <c r="A550" s="15">
        <v>734125</v>
      </c>
      <c r="B550" s="18" t="s">
        <v>691</v>
      </c>
      <c r="C550" s="15">
        <v>1</v>
      </c>
      <c r="D550" s="15">
        <v>1</v>
      </c>
      <c r="E550" s="19">
        <v>1</v>
      </c>
      <c r="F550" s="21">
        <v>0</v>
      </c>
    </row>
    <row r="551" spans="1:6" ht="86.25" thickBot="1">
      <c r="A551" s="15">
        <v>856252</v>
      </c>
      <c r="B551" s="18" t="s">
        <v>692</v>
      </c>
      <c r="C551" s="15">
        <v>1</v>
      </c>
      <c r="D551" s="15">
        <v>1</v>
      </c>
      <c r="E551" s="19">
        <v>48</v>
      </c>
      <c r="F551" s="21">
        <v>47</v>
      </c>
    </row>
    <row r="552" spans="1:6" ht="86.25" thickBot="1">
      <c r="A552" s="15">
        <v>210097</v>
      </c>
      <c r="B552" s="18" t="s">
        <v>693</v>
      </c>
      <c r="C552" s="15">
        <v>1</v>
      </c>
      <c r="D552" s="15">
        <v>1</v>
      </c>
      <c r="E552" s="17">
        <v>20</v>
      </c>
      <c r="F552" s="21">
        <v>19</v>
      </c>
    </row>
    <row r="553" spans="1:6" ht="72" thickBot="1">
      <c r="A553" s="15">
        <v>737164</v>
      </c>
      <c r="B553" s="18" t="s">
        <v>694</v>
      </c>
      <c r="C553" s="15">
        <v>1</v>
      </c>
      <c r="D553" s="15">
        <v>1</v>
      </c>
      <c r="E553" s="17">
        <v>20</v>
      </c>
      <c r="F553" s="21">
        <v>19</v>
      </c>
    </row>
    <row r="554" spans="1:6" ht="72" thickBot="1">
      <c r="A554" s="15">
        <v>194092</v>
      </c>
      <c r="B554" s="18" t="s">
        <v>695</v>
      </c>
      <c r="C554" s="15">
        <v>1</v>
      </c>
      <c r="D554" s="15">
        <v>1</v>
      </c>
      <c r="E554" s="17">
        <v>20</v>
      </c>
      <c r="F554" s="21">
        <v>19</v>
      </c>
    </row>
    <row r="555" spans="1:6" ht="86.25" thickBot="1">
      <c r="A555" s="15">
        <v>210101</v>
      </c>
      <c r="B555" s="18" t="s">
        <v>696</v>
      </c>
      <c r="C555" s="15">
        <v>1</v>
      </c>
      <c r="D555" s="15">
        <v>1</v>
      </c>
      <c r="E555" s="17">
        <v>20</v>
      </c>
      <c r="F555" s="21">
        <v>19</v>
      </c>
    </row>
    <row r="556" spans="1:6" ht="86.25" thickBot="1">
      <c r="A556" s="15">
        <v>308609</v>
      </c>
      <c r="B556" s="18" t="s">
        <v>697</v>
      </c>
      <c r="C556" s="15">
        <v>1</v>
      </c>
      <c r="D556" s="15">
        <v>1</v>
      </c>
      <c r="E556" s="17">
        <v>20</v>
      </c>
      <c r="F556" s="21">
        <v>19</v>
      </c>
    </row>
    <row r="557" spans="1:6" ht="57.75" thickBot="1">
      <c r="A557" s="15">
        <v>152870</v>
      </c>
      <c r="B557" s="18" t="s">
        <v>698</v>
      </c>
      <c r="C557" s="15">
        <v>1</v>
      </c>
      <c r="D557" s="15">
        <v>1</v>
      </c>
      <c r="E557" s="17">
        <v>20</v>
      </c>
      <c r="F557" s="21">
        <v>19</v>
      </c>
    </row>
    <row r="558" spans="1:6" ht="100.5" thickBot="1">
      <c r="A558" s="15">
        <v>737209</v>
      </c>
      <c r="B558" s="18" t="s">
        <v>699</v>
      </c>
      <c r="C558" s="15">
        <v>1</v>
      </c>
      <c r="D558" s="15">
        <v>1</v>
      </c>
      <c r="E558" s="17">
        <v>20</v>
      </c>
      <c r="F558" s="21">
        <v>19</v>
      </c>
    </row>
    <row r="559" spans="1:6" ht="43.5" thickBot="1">
      <c r="A559" s="15">
        <v>736239</v>
      </c>
      <c r="B559" s="18" t="s">
        <v>700</v>
      </c>
      <c r="C559" s="15">
        <v>1</v>
      </c>
      <c r="D559" s="15">
        <v>1</v>
      </c>
      <c r="E559" s="17">
        <v>20</v>
      </c>
      <c r="F559" s="21">
        <v>19</v>
      </c>
    </row>
    <row r="560" spans="1:6" ht="72" thickBot="1">
      <c r="A560" s="15">
        <v>150832</v>
      </c>
      <c r="B560" s="18" t="s">
        <v>701</v>
      </c>
      <c r="C560" s="15">
        <v>1</v>
      </c>
      <c r="D560" s="15">
        <v>1</v>
      </c>
      <c r="E560" s="17">
        <v>20</v>
      </c>
      <c r="F560" s="21">
        <v>19</v>
      </c>
    </row>
    <row r="561" spans="1:6" ht="72" thickBot="1">
      <c r="A561" s="15">
        <v>736182</v>
      </c>
      <c r="B561" s="18" t="s">
        <v>702</v>
      </c>
      <c r="C561" s="15">
        <v>1</v>
      </c>
      <c r="D561" s="15">
        <v>1</v>
      </c>
      <c r="E561" s="17">
        <v>20</v>
      </c>
      <c r="F561" s="21">
        <v>19</v>
      </c>
    </row>
    <row r="562" spans="1:6" ht="86.25" thickBot="1">
      <c r="A562" s="15">
        <v>152748</v>
      </c>
      <c r="B562" s="18" t="s">
        <v>703</v>
      </c>
      <c r="C562" s="15">
        <v>1</v>
      </c>
      <c r="D562" s="15">
        <v>1</v>
      </c>
      <c r="E562" s="17">
        <v>20</v>
      </c>
      <c r="F562" s="21">
        <v>19</v>
      </c>
    </row>
    <row r="563" spans="1:6" ht="86.25" thickBot="1">
      <c r="A563" s="15">
        <v>737021</v>
      </c>
      <c r="B563" s="18" t="s">
        <v>704</v>
      </c>
      <c r="C563" s="15">
        <v>1</v>
      </c>
      <c r="D563" s="15">
        <v>1</v>
      </c>
      <c r="E563" s="17">
        <v>20</v>
      </c>
      <c r="F563" s="21">
        <v>19</v>
      </c>
    </row>
    <row r="564" spans="1:6" ht="43.5" thickBot="1">
      <c r="A564" s="15">
        <v>734703</v>
      </c>
      <c r="B564" s="18" t="s">
        <v>705</v>
      </c>
      <c r="C564" s="15">
        <v>1</v>
      </c>
      <c r="D564" s="15">
        <v>1</v>
      </c>
      <c r="E564" s="17">
        <v>20</v>
      </c>
      <c r="F564" s="21">
        <v>19</v>
      </c>
    </row>
    <row r="565" spans="1:6" ht="114.75" thickBot="1">
      <c r="A565" s="15">
        <v>840577</v>
      </c>
      <c r="B565" s="18" t="s">
        <v>706</v>
      </c>
      <c r="C565" s="15">
        <v>1</v>
      </c>
      <c r="D565" s="15">
        <v>1</v>
      </c>
      <c r="E565" s="17">
        <v>20</v>
      </c>
      <c r="F565" s="21">
        <v>19</v>
      </c>
    </row>
    <row r="566" spans="1:6" ht="26.25" thickBot="1">
      <c r="A566" s="15">
        <v>737386</v>
      </c>
      <c r="B566" s="16" t="s">
        <v>255</v>
      </c>
      <c r="C566" s="15">
        <v>100</v>
      </c>
      <c r="D566" s="15">
        <v>100</v>
      </c>
      <c r="E566" s="20">
        <v>25</v>
      </c>
      <c r="F566" s="21">
        <v>24</v>
      </c>
    </row>
    <row r="567" spans="1:6" ht="86.25" thickBot="1">
      <c r="A567" s="15">
        <v>861554</v>
      </c>
      <c r="B567" s="18" t="s">
        <v>707</v>
      </c>
      <c r="C567" s="15">
        <v>1</v>
      </c>
      <c r="D567" s="15">
        <v>1</v>
      </c>
      <c r="E567" s="19">
        <v>39</v>
      </c>
      <c r="F567" s="21">
        <v>38</v>
      </c>
    </row>
    <row r="568" spans="1:6" ht="72" thickBot="1">
      <c r="A568" s="15">
        <v>864544</v>
      </c>
      <c r="B568" s="18" t="s">
        <v>708</v>
      </c>
      <c r="C568" s="15">
        <v>1</v>
      </c>
      <c r="D568" s="15">
        <v>1</v>
      </c>
      <c r="E568" s="19">
        <v>18</v>
      </c>
      <c r="F568" s="21">
        <v>17</v>
      </c>
    </row>
    <row r="569" spans="1:6" ht="86.25" thickBot="1">
      <c r="A569" s="15">
        <v>870828</v>
      </c>
      <c r="B569" s="18" t="s">
        <v>709</v>
      </c>
      <c r="C569" s="15">
        <v>1</v>
      </c>
      <c r="D569" s="15">
        <v>1</v>
      </c>
      <c r="E569" s="19">
        <v>192</v>
      </c>
      <c r="F569" s="21">
        <v>191</v>
      </c>
    </row>
    <row r="570" spans="1:6" ht="72" thickBot="1">
      <c r="A570" s="15">
        <v>790096</v>
      </c>
      <c r="B570" s="18" t="s">
        <v>711</v>
      </c>
      <c r="C570" s="15">
        <v>64</v>
      </c>
      <c r="D570" s="15">
        <v>64</v>
      </c>
      <c r="E570" s="17">
        <v>20</v>
      </c>
      <c r="F570" s="21">
        <v>19</v>
      </c>
    </row>
    <row r="571" spans="1:6" ht="29.25" thickBot="1">
      <c r="A571" s="15">
        <v>867933</v>
      </c>
      <c r="B571" s="18" t="s">
        <v>712</v>
      </c>
      <c r="C571" s="15">
        <v>1</v>
      </c>
      <c r="D571" s="15">
        <v>1</v>
      </c>
      <c r="E571" s="19">
        <v>298</v>
      </c>
      <c r="F571" s="21">
        <v>297</v>
      </c>
    </row>
    <row r="572" spans="1:6" ht="72" thickBot="1">
      <c r="A572" s="15">
        <v>843898</v>
      </c>
      <c r="B572" s="18" t="s">
        <v>719</v>
      </c>
      <c r="C572" s="15">
        <v>1</v>
      </c>
      <c r="D572" s="15">
        <v>1</v>
      </c>
      <c r="E572" s="19">
        <v>79</v>
      </c>
      <c r="F572" s="21">
        <v>78</v>
      </c>
    </row>
    <row r="573" spans="1:6" ht="72" thickBot="1">
      <c r="A573" s="15">
        <v>872805</v>
      </c>
      <c r="B573" s="18" t="s">
        <v>720</v>
      </c>
      <c r="C573" s="15">
        <v>1</v>
      </c>
      <c r="D573" s="15">
        <v>1</v>
      </c>
      <c r="E573" s="19">
        <v>32</v>
      </c>
      <c r="F573" s="21">
        <v>31</v>
      </c>
    </row>
    <row r="574" spans="1:6" ht="86.25" thickBot="1">
      <c r="A574" s="15">
        <v>882580</v>
      </c>
      <c r="B574" s="18" t="s">
        <v>721</v>
      </c>
      <c r="C574" s="15">
        <v>1</v>
      </c>
      <c r="D574" s="15">
        <v>1</v>
      </c>
      <c r="E574" s="19">
        <v>48</v>
      </c>
      <c r="F574" s="21">
        <v>47</v>
      </c>
    </row>
    <row r="575" spans="1:6" ht="72" thickBot="1">
      <c r="A575" s="15">
        <v>888133</v>
      </c>
      <c r="B575" s="18" t="s">
        <v>722</v>
      </c>
      <c r="C575" s="15">
        <v>64</v>
      </c>
      <c r="D575" s="15">
        <v>64</v>
      </c>
      <c r="E575" s="17">
        <v>20</v>
      </c>
      <c r="F575" s="21">
        <v>19</v>
      </c>
    </row>
    <row r="576" spans="1:6" ht="72" thickBot="1">
      <c r="A576" s="15">
        <v>878885</v>
      </c>
      <c r="B576" s="18" t="s">
        <v>723</v>
      </c>
      <c r="C576" s="15">
        <v>1</v>
      </c>
      <c r="D576" s="15">
        <v>1</v>
      </c>
      <c r="E576" s="19">
        <v>48</v>
      </c>
      <c r="F576" s="21">
        <v>47</v>
      </c>
    </row>
    <row r="577" spans="1:6" ht="57.75" thickBot="1">
      <c r="A577" s="15">
        <v>840858</v>
      </c>
      <c r="B577" s="18" t="s">
        <v>724</v>
      </c>
      <c r="C577" s="15">
        <v>1</v>
      </c>
      <c r="D577" s="15">
        <v>1</v>
      </c>
      <c r="E577" s="19">
        <v>10</v>
      </c>
      <c r="F577" s="21">
        <v>9</v>
      </c>
    </row>
    <row r="578" spans="1:6" ht="72" thickBot="1">
      <c r="A578" s="15">
        <v>840857</v>
      </c>
      <c r="B578" s="18" t="s">
        <v>725</v>
      </c>
      <c r="C578" s="15">
        <v>1</v>
      </c>
      <c r="D578" s="15">
        <v>1</v>
      </c>
      <c r="E578" s="19">
        <v>10</v>
      </c>
      <c r="F578" s="21">
        <v>9</v>
      </c>
    </row>
    <row r="579" spans="1:6" ht="57.75" thickBot="1">
      <c r="A579" s="15">
        <v>866903</v>
      </c>
      <c r="B579" s="18" t="s">
        <v>726</v>
      </c>
      <c r="C579" s="15">
        <v>1</v>
      </c>
      <c r="D579" s="15">
        <v>1</v>
      </c>
      <c r="E579" s="19">
        <v>88</v>
      </c>
      <c r="F579" s="21">
        <v>87</v>
      </c>
    </row>
    <row r="580" spans="1:6" ht="72" thickBot="1">
      <c r="A580" s="15">
        <v>177810</v>
      </c>
      <c r="B580" s="18" t="s">
        <v>727</v>
      </c>
      <c r="C580" s="15">
        <v>81</v>
      </c>
      <c r="D580" s="15">
        <v>81</v>
      </c>
      <c r="E580" s="17">
        <v>20</v>
      </c>
      <c r="F580" s="21">
        <v>19</v>
      </c>
    </row>
    <row r="581" spans="1:6" ht="86.25" thickBot="1">
      <c r="A581" s="15">
        <v>883042</v>
      </c>
      <c r="B581" s="18" t="s">
        <v>728</v>
      </c>
      <c r="C581" s="15">
        <v>1</v>
      </c>
      <c r="D581" s="15">
        <v>1</v>
      </c>
      <c r="E581" s="19">
        <v>48</v>
      </c>
      <c r="F581" s="21">
        <v>47</v>
      </c>
    </row>
    <row r="582" spans="1:6" ht="86.25" thickBot="1">
      <c r="A582" s="15">
        <v>880221</v>
      </c>
      <c r="B582" s="18" t="s">
        <v>729</v>
      </c>
      <c r="C582" s="15">
        <v>1</v>
      </c>
      <c r="D582" s="15">
        <v>1</v>
      </c>
      <c r="E582" s="19">
        <v>81</v>
      </c>
      <c r="F582" s="21">
        <v>80</v>
      </c>
    </row>
    <row r="583" spans="1:6" ht="43.5" thickBot="1">
      <c r="A583" s="15">
        <v>870850</v>
      </c>
      <c r="B583" s="18" t="s">
        <v>730</v>
      </c>
      <c r="C583" s="15">
        <v>1</v>
      </c>
      <c r="D583" s="15">
        <v>1</v>
      </c>
      <c r="E583" s="19">
        <v>97</v>
      </c>
      <c r="F583" s="21">
        <v>96</v>
      </c>
    </row>
    <row r="584" spans="1:6" ht="100.5" thickBot="1">
      <c r="A584" s="15">
        <v>884266</v>
      </c>
      <c r="B584" s="18" t="s">
        <v>732</v>
      </c>
      <c r="C584" s="15">
        <v>1</v>
      </c>
      <c r="D584" s="15">
        <v>1</v>
      </c>
      <c r="E584" s="19">
        <v>40</v>
      </c>
      <c r="F584" s="21">
        <v>39</v>
      </c>
    </row>
    <row r="585" spans="1:6" ht="57.75" thickBot="1">
      <c r="A585" s="15">
        <v>885582</v>
      </c>
      <c r="B585" s="18" t="s">
        <v>736</v>
      </c>
      <c r="C585" s="15">
        <v>1</v>
      </c>
      <c r="D585" s="15">
        <v>1</v>
      </c>
      <c r="E585" s="19">
        <v>115</v>
      </c>
      <c r="F585" s="21">
        <v>114</v>
      </c>
    </row>
    <row r="586" spans="1:6" ht="100.5" thickBot="1">
      <c r="A586" s="15">
        <v>894837</v>
      </c>
      <c r="B586" s="18" t="s">
        <v>737</v>
      </c>
      <c r="C586" s="15">
        <v>1</v>
      </c>
      <c r="D586" s="15">
        <v>1</v>
      </c>
      <c r="E586" s="19">
        <v>48</v>
      </c>
      <c r="F586" s="21">
        <v>47</v>
      </c>
    </row>
    <row r="587" spans="1:6" ht="86.25" thickBot="1">
      <c r="A587" s="15">
        <v>884262</v>
      </c>
      <c r="B587" s="18" t="s">
        <v>738</v>
      </c>
      <c r="C587" s="15">
        <v>1</v>
      </c>
      <c r="D587" s="15">
        <v>1</v>
      </c>
      <c r="E587" s="19">
        <v>40</v>
      </c>
      <c r="F587" s="21">
        <v>39</v>
      </c>
    </row>
    <row r="588" spans="1:6" ht="57.75" thickBot="1">
      <c r="A588" s="15">
        <v>795540</v>
      </c>
      <c r="B588" s="18" t="s">
        <v>739</v>
      </c>
      <c r="C588" s="15">
        <v>112</v>
      </c>
      <c r="D588" s="15">
        <v>112</v>
      </c>
      <c r="E588" s="17">
        <v>20</v>
      </c>
      <c r="F588" s="21">
        <v>19</v>
      </c>
    </row>
    <row r="589" spans="1:6" ht="86.25" thickBot="1">
      <c r="A589" s="15">
        <v>898595</v>
      </c>
      <c r="B589" s="18" t="s">
        <v>740</v>
      </c>
      <c r="C589" s="15">
        <v>1</v>
      </c>
      <c r="D589" s="15">
        <v>1</v>
      </c>
      <c r="E589" s="19">
        <v>48</v>
      </c>
      <c r="F589" s="21">
        <v>47</v>
      </c>
    </row>
    <row r="590" spans="1:6" ht="57.75" thickBot="1">
      <c r="A590" s="15">
        <v>899148</v>
      </c>
      <c r="B590" s="18" t="s">
        <v>741</v>
      </c>
      <c r="C590" s="15">
        <v>1</v>
      </c>
      <c r="D590" s="15">
        <v>1</v>
      </c>
      <c r="E590" s="19">
        <v>8</v>
      </c>
      <c r="F590" s="21">
        <v>7</v>
      </c>
    </row>
    <row r="591" spans="1:6" ht="57.75" thickBot="1">
      <c r="A591" s="28">
        <v>878523</v>
      </c>
      <c r="B591" s="18" t="s">
        <v>744</v>
      </c>
      <c r="C591" s="15">
        <v>1</v>
      </c>
      <c r="D591" s="15">
        <v>1</v>
      </c>
      <c r="E591" s="19">
        <v>67</v>
      </c>
      <c r="F591" s="21">
        <v>66</v>
      </c>
    </row>
    <row r="592" spans="1:6" ht="86.25" thickBot="1">
      <c r="A592" s="28">
        <v>900435</v>
      </c>
      <c r="B592" s="18" t="s">
        <v>745</v>
      </c>
      <c r="C592" s="15">
        <v>1</v>
      </c>
      <c r="D592" s="15">
        <v>1</v>
      </c>
      <c r="E592" s="19">
        <v>28</v>
      </c>
      <c r="F592" s="21">
        <v>27</v>
      </c>
    </row>
    <row r="593" spans="1:6" ht="57.75" thickBot="1">
      <c r="A593" s="15">
        <v>929819</v>
      </c>
      <c r="B593" s="18" t="s">
        <v>746</v>
      </c>
      <c r="C593" s="15">
        <v>80</v>
      </c>
      <c r="D593" s="15">
        <v>80</v>
      </c>
      <c r="E593" s="17">
        <v>20</v>
      </c>
      <c r="F593" s="21">
        <v>19</v>
      </c>
    </row>
    <row r="594" spans="1:6" ht="57.75" thickBot="1">
      <c r="A594" s="15">
        <v>899750</v>
      </c>
      <c r="B594" s="18" t="s">
        <v>747</v>
      </c>
      <c r="C594" s="15">
        <v>1</v>
      </c>
      <c r="D594" s="15">
        <v>1</v>
      </c>
      <c r="E594" s="19">
        <v>53</v>
      </c>
      <c r="F594" s="21">
        <v>52</v>
      </c>
    </row>
    <row r="595" spans="1:6" ht="72" thickBot="1">
      <c r="A595" s="15">
        <v>928958</v>
      </c>
      <c r="B595" s="18" t="s">
        <v>748</v>
      </c>
      <c r="C595" s="15">
        <v>1</v>
      </c>
      <c r="D595" s="15">
        <v>1</v>
      </c>
      <c r="E595" s="19">
        <v>6</v>
      </c>
      <c r="F595" s="21">
        <v>5</v>
      </c>
    </row>
    <row r="596" spans="1:6" ht="86.25" thickBot="1">
      <c r="A596" s="15">
        <v>889231</v>
      </c>
      <c r="B596" s="18" t="s">
        <v>749</v>
      </c>
      <c r="C596" s="15">
        <v>1</v>
      </c>
      <c r="D596" s="15">
        <v>1</v>
      </c>
      <c r="E596" s="19">
        <v>65</v>
      </c>
      <c r="F596" s="21">
        <v>64</v>
      </c>
    </row>
    <row r="597" spans="1:6" ht="43.5" thickBot="1">
      <c r="A597" s="15">
        <v>900397</v>
      </c>
      <c r="B597" s="18" t="s">
        <v>477</v>
      </c>
      <c r="C597" s="15">
        <v>1</v>
      </c>
      <c r="D597" s="15">
        <v>1</v>
      </c>
      <c r="E597" s="19">
        <v>58</v>
      </c>
      <c r="F597" s="21">
        <v>57</v>
      </c>
    </row>
    <row r="598" spans="1:6" ht="72" thickBot="1">
      <c r="A598" s="15">
        <v>938888</v>
      </c>
      <c r="B598" s="18" t="s">
        <v>750</v>
      </c>
      <c r="C598" s="15">
        <v>1</v>
      </c>
      <c r="D598" s="15">
        <v>1</v>
      </c>
      <c r="E598" s="19">
        <v>48</v>
      </c>
      <c r="F598" s="21">
        <v>47</v>
      </c>
    </row>
    <row r="599" spans="1:6" ht="57.75" thickBot="1">
      <c r="A599" s="15">
        <v>899748</v>
      </c>
      <c r="B599" s="18" t="s">
        <v>751</v>
      </c>
      <c r="C599" s="15">
        <v>1</v>
      </c>
      <c r="D599" s="15">
        <v>1</v>
      </c>
      <c r="E599" s="19">
        <v>51</v>
      </c>
      <c r="F599" s="21">
        <v>50</v>
      </c>
    </row>
    <row r="600" spans="1:6" ht="86.25" thickBot="1">
      <c r="A600" s="15">
        <v>199490</v>
      </c>
      <c r="B600" s="18" t="s">
        <v>752</v>
      </c>
      <c r="C600" s="15">
        <v>81</v>
      </c>
      <c r="D600" s="15">
        <v>81</v>
      </c>
      <c r="E600" s="17">
        <v>20</v>
      </c>
      <c r="F600" s="21">
        <v>19</v>
      </c>
    </row>
    <row r="601" spans="1:6" ht="43.5" thickBot="1">
      <c r="A601" s="15">
        <v>922516</v>
      </c>
      <c r="B601" s="18" t="s">
        <v>753</v>
      </c>
      <c r="C601" s="15">
        <v>1</v>
      </c>
      <c r="D601" s="15">
        <v>1</v>
      </c>
      <c r="E601" s="19">
        <v>33</v>
      </c>
      <c r="F601" s="21">
        <v>32</v>
      </c>
    </row>
    <row r="602" spans="1:6" ht="72" thickBot="1">
      <c r="A602" s="15">
        <v>177757</v>
      </c>
      <c r="B602" s="18" t="s">
        <v>1042</v>
      </c>
      <c r="C602" s="15">
        <v>42</v>
      </c>
      <c r="D602" s="15">
        <v>42</v>
      </c>
      <c r="E602" s="17">
        <v>20</v>
      </c>
      <c r="F602" s="21">
        <v>19</v>
      </c>
    </row>
    <row r="603" spans="1:6" ht="72" thickBot="1">
      <c r="A603" s="15">
        <v>177783</v>
      </c>
      <c r="B603" s="18" t="s">
        <v>1043</v>
      </c>
      <c r="C603" s="15">
        <v>42</v>
      </c>
      <c r="D603" s="15">
        <v>42</v>
      </c>
      <c r="E603" s="17">
        <v>20</v>
      </c>
      <c r="F603" s="21">
        <v>19</v>
      </c>
    </row>
    <row r="604" spans="1:6" ht="86.25" thickBot="1">
      <c r="A604" s="15">
        <v>199445</v>
      </c>
      <c r="B604" s="18" t="s">
        <v>1044</v>
      </c>
      <c r="C604" s="15">
        <v>49</v>
      </c>
      <c r="D604" s="15">
        <v>49</v>
      </c>
      <c r="E604" s="17">
        <v>20</v>
      </c>
      <c r="F604" s="21">
        <v>19</v>
      </c>
    </row>
    <row r="605" spans="1:6" ht="86.25" thickBot="1">
      <c r="A605" s="15">
        <v>199490</v>
      </c>
      <c r="B605" s="18" t="s">
        <v>752</v>
      </c>
      <c r="C605" s="15">
        <v>81</v>
      </c>
      <c r="D605" s="15">
        <v>81</v>
      </c>
      <c r="E605" s="17">
        <v>20</v>
      </c>
      <c r="F605" s="21">
        <v>19</v>
      </c>
    </row>
    <row r="606" spans="1:6" ht="72" thickBot="1">
      <c r="A606" s="15">
        <v>791980</v>
      </c>
      <c r="B606" s="18" t="s">
        <v>1045</v>
      </c>
      <c r="C606" s="15">
        <v>25</v>
      </c>
      <c r="D606" s="15">
        <v>25</v>
      </c>
      <c r="E606" s="17">
        <v>20</v>
      </c>
      <c r="F606" s="21">
        <v>19</v>
      </c>
    </row>
    <row r="607" spans="1:6" ht="72" thickBot="1">
      <c r="A607" s="15">
        <v>792007</v>
      </c>
      <c r="B607" s="18" t="s">
        <v>1046</v>
      </c>
      <c r="C607" s="15">
        <v>25</v>
      </c>
      <c r="D607" s="15">
        <v>25</v>
      </c>
      <c r="E607" s="17">
        <v>20</v>
      </c>
      <c r="F607" s="21">
        <v>19</v>
      </c>
    </row>
    <row r="608" spans="1:6" ht="72" thickBot="1">
      <c r="A608" s="15">
        <v>879182</v>
      </c>
      <c r="B608" s="18" t="s">
        <v>1047</v>
      </c>
      <c r="C608" s="15">
        <v>36</v>
      </c>
      <c r="D608" s="15">
        <v>36</v>
      </c>
      <c r="E608" s="17">
        <v>20</v>
      </c>
      <c r="F608" s="21">
        <v>19</v>
      </c>
    </row>
    <row r="609" spans="1:6" ht="86.25" thickBot="1">
      <c r="A609" s="15">
        <v>928190</v>
      </c>
      <c r="B609" s="18" t="s">
        <v>1048</v>
      </c>
      <c r="C609" s="15">
        <v>42</v>
      </c>
      <c r="D609" s="15">
        <v>42</v>
      </c>
      <c r="E609" s="17">
        <v>20</v>
      </c>
      <c r="F609" s="21">
        <v>19</v>
      </c>
    </row>
    <row r="610" spans="1:6" ht="57.75" thickBot="1">
      <c r="A610" s="15">
        <v>933494</v>
      </c>
      <c r="B610" s="18" t="s">
        <v>1049</v>
      </c>
      <c r="C610" s="15">
        <v>36</v>
      </c>
      <c r="D610" s="15">
        <v>36</v>
      </c>
      <c r="E610" s="17">
        <v>20</v>
      </c>
      <c r="F610" s="21">
        <v>19</v>
      </c>
    </row>
    <row r="611" spans="1:6" ht="57.75" thickBot="1">
      <c r="A611" s="15">
        <v>891621</v>
      </c>
      <c r="B611" s="18" t="s">
        <v>1050</v>
      </c>
      <c r="C611" s="15">
        <v>1</v>
      </c>
      <c r="D611" s="15">
        <v>1</v>
      </c>
      <c r="E611" s="19">
        <v>40</v>
      </c>
      <c r="F611" s="21">
        <v>39</v>
      </c>
    </row>
    <row r="612" spans="1:6" ht="86.25" thickBot="1">
      <c r="A612" s="15">
        <v>891619</v>
      </c>
      <c r="B612" s="18" t="s">
        <v>1051</v>
      </c>
      <c r="C612" s="15">
        <v>1</v>
      </c>
      <c r="D612" s="15">
        <v>1</v>
      </c>
      <c r="E612" s="19">
        <v>40</v>
      </c>
      <c r="F612" s="21">
        <v>39</v>
      </c>
    </row>
    <row r="613" spans="1:6" ht="86.25" thickBot="1">
      <c r="A613" s="15">
        <v>891620</v>
      </c>
      <c r="B613" s="18" t="s">
        <v>1052</v>
      </c>
      <c r="C613" s="15">
        <v>1</v>
      </c>
      <c r="D613" s="15">
        <v>1</v>
      </c>
      <c r="E613" s="19">
        <v>66</v>
      </c>
      <c r="F613" s="21">
        <v>65</v>
      </c>
    </row>
    <row r="614" spans="1:6" ht="86.25" thickBot="1">
      <c r="A614" s="15">
        <v>891822</v>
      </c>
      <c r="B614" s="18" t="s">
        <v>1053</v>
      </c>
      <c r="C614" s="15">
        <v>1</v>
      </c>
      <c r="D614" s="15">
        <v>1</v>
      </c>
      <c r="E614" s="19">
        <v>60</v>
      </c>
      <c r="F614" s="21">
        <v>59</v>
      </c>
    </row>
    <row r="615" spans="1:6" ht="72" thickBot="1">
      <c r="A615" s="15">
        <v>48336</v>
      </c>
      <c r="B615" s="18" t="s">
        <v>1054</v>
      </c>
      <c r="C615" s="15">
        <v>1</v>
      </c>
      <c r="D615" s="15">
        <v>1</v>
      </c>
      <c r="E615" s="19">
        <v>30</v>
      </c>
      <c r="F615" s="21">
        <v>29</v>
      </c>
    </row>
    <row r="616" spans="1:6" ht="72" thickBot="1">
      <c r="A616" s="15">
        <v>734161</v>
      </c>
      <c r="B616" s="18" t="s">
        <v>1055</v>
      </c>
      <c r="C616" s="15">
        <v>36</v>
      </c>
      <c r="D616" s="15">
        <v>36</v>
      </c>
      <c r="E616" s="17">
        <v>20</v>
      </c>
      <c r="F616" s="21">
        <v>19</v>
      </c>
    </row>
    <row r="617" spans="1:6" ht="72" thickBot="1">
      <c r="A617" s="15">
        <v>889463</v>
      </c>
      <c r="B617" s="18" t="s">
        <v>1056</v>
      </c>
      <c r="C617" s="15">
        <v>144</v>
      </c>
      <c r="D617" s="15">
        <v>144</v>
      </c>
      <c r="E617" s="17">
        <v>20</v>
      </c>
      <c r="F617" s="21">
        <v>19</v>
      </c>
    </row>
    <row r="618" spans="1:6" ht="43.5" thickBot="1">
      <c r="A618" s="15">
        <v>942006</v>
      </c>
      <c r="B618" s="18" t="s">
        <v>1057</v>
      </c>
      <c r="C618" s="15">
        <v>1</v>
      </c>
      <c r="D618" s="15">
        <v>1</v>
      </c>
      <c r="E618" s="19">
        <v>23</v>
      </c>
      <c r="F618" s="21">
        <v>22</v>
      </c>
    </row>
    <row r="619" spans="1:6" ht="43.5" thickBot="1">
      <c r="A619" s="15">
        <v>942012</v>
      </c>
      <c r="B619" s="18" t="s">
        <v>1058</v>
      </c>
      <c r="C619" s="15">
        <v>1</v>
      </c>
      <c r="D619" s="15">
        <v>1</v>
      </c>
      <c r="E619" s="19">
        <v>51</v>
      </c>
      <c r="F619" s="21">
        <v>50</v>
      </c>
    </row>
    <row r="620" spans="1:6" ht="43.5" thickBot="1">
      <c r="A620" s="15">
        <v>941989</v>
      </c>
      <c r="B620" s="18" t="s">
        <v>1059</v>
      </c>
      <c r="C620" s="15">
        <v>1</v>
      </c>
      <c r="D620" s="15">
        <v>1</v>
      </c>
      <c r="E620" s="19">
        <v>33</v>
      </c>
      <c r="F620" s="21">
        <v>32</v>
      </c>
    </row>
    <row r="621" spans="1:6" ht="43.5" thickBot="1">
      <c r="A621" s="15">
        <v>942035</v>
      </c>
      <c r="B621" s="18" t="s">
        <v>1060</v>
      </c>
      <c r="C621" s="15">
        <v>1</v>
      </c>
      <c r="D621" s="15">
        <v>1</v>
      </c>
      <c r="E621" s="19">
        <v>46</v>
      </c>
      <c r="F621" s="21">
        <v>45</v>
      </c>
    </row>
    <row r="622" spans="1:6" ht="43.5" thickBot="1">
      <c r="A622" s="28">
        <v>942105</v>
      </c>
      <c r="B622" s="18" t="s">
        <v>1061</v>
      </c>
      <c r="C622" s="15">
        <v>1</v>
      </c>
      <c r="D622" s="15">
        <v>1</v>
      </c>
      <c r="E622" s="19">
        <v>23</v>
      </c>
      <c r="F622" s="21">
        <v>22</v>
      </c>
    </row>
    <row r="623" spans="1:6" ht="43.5" thickBot="1">
      <c r="A623" s="15">
        <v>942103</v>
      </c>
      <c r="B623" s="18" t="s">
        <v>1062</v>
      </c>
      <c r="C623" s="15">
        <v>1</v>
      </c>
      <c r="D623" s="15">
        <v>1</v>
      </c>
      <c r="E623" s="19">
        <v>14</v>
      </c>
      <c r="F623" s="21">
        <v>13</v>
      </c>
    </row>
    <row r="624" spans="1:6" ht="72" thickBot="1">
      <c r="A624" s="15">
        <v>734170</v>
      </c>
      <c r="B624" s="18" t="s">
        <v>1063</v>
      </c>
      <c r="C624" s="15">
        <v>36</v>
      </c>
      <c r="D624" s="15">
        <v>36</v>
      </c>
      <c r="E624" s="17">
        <v>20</v>
      </c>
      <c r="F624" s="21">
        <v>19</v>
      </c>
    </row>
    <row r="625" spans="1:6" ht="72" thickBot="1">
      <c r="A625" s="15">
        <v>198853</v>
      </c>
      <c r="B625" s="18" t="s">
        <v>1064</v>
      </c>
      <c r="C625" s="15">
        <v>49</v>
      </c>
      <c r="D625" s="15">
        <v>49</v>
      </c>
      <c r="E625" s="17">
        <v>20</v>
      </c>
      <c r="F625" s="21">
        <v>19</v>
      </c>
    </row>
    <row r="626" spans="1:6" ht="100.5" thickBot="1">
      <c r="A626" s="15">
        <v>882022</v>
      </c>
      <c r="B626" s="18" t="s">
        <v>1289</v>
      </c>
      <c r="C626" s="15">
        <v>1</v>
      </c>
      <c r="D626" s="15">
        <v>1</v>
      </c>
      <c r="E626" s="19">
        <v>8</v>
      </c>
      <c r="F626" s="21">
        <v>7</v>
      </c>
    </row>
    <row r="627" spans="1:6" ht="72" thickBot="1">
      <c r="A627" s="15">
        <v>733946</v>
      </c>
      <c r="B627" s="18" t="s">
        <v>1290</v>
      </c>
      <c r="C627" s="15">
        <v>42</v>
      </c>
      <c r="D627" s="15">
        <v>42</v>
      </c>
      <c r="E627" s="17">
        <v>20</v>
      </c>
      <c r="F627" s="21">
        <v>19</v>
      </c>
    </row>
    <row r="628" spans="1:6" ht="57.75" thickBot="1">
      <c r="A628" s="15">
        <v>135182</v>
      </c>
      <c r="B628" s="18" t="s">
        <v>1291</v>
      </c>
      <c r="C628" s="15">
        <v>36</v>
      </c>
      <c r="D628" s="15">
        <v>36</v>
      </c>
      <c r="E628" s="17">
        <v>20</v>
      </c>
      <c r="F628" s="21">
        <v>19</v>
      </c>
    </row>
    <row r="629" spans="1:6" ht="72" thickBot="1">
      <c r="A629" s="28">
        <v>939946</v>
      </c>
      <c r="B629" s="18" t="s">
        <v>1292</v>
      </c>
      <c r="C629" s="15">
        <v>1</v>
      </c>
      <c r="D629" s="15">
        <v>1</v>
      </c>
      <c r="E629" s="19">
        <v>35</v>
      </c>
      <c r="F629" s="21">
        <v>34</v>
      </c>
    </row>
    <row r="630" spans="1:6" ht="29.25" thickBot="1">
      <c r="A630" s="15">
        <v>881048</v>
      </c>
      <c r="B630" s="18" t="s">
        <v>1293</v>
      </c>
      <c r="C630" s="15">
        <v>1</v>
      </c>
      <c r="D630" s="15">
        <v>1</v>
      </c>
      <c r="E630" s="19">
        <v>26</v>
      </c>
      <c r="F630" s="21">
        <v>25</v>
      </c>
    </row>
    <row r="631" spans="1:6" ht="29.25" thickBot="1">
      <c r="A631" s="15">
        <v>881203</v>
      </c>
      <c r="B631" s="18" t="s">
        <v>1294</v>
      </c>
      <c r="C631" s="15">
        <v>1</v>
      </c>
      <c r="D631" s="15">
        <v>1</v>
      </c>
      <c r="E631" s="19">
        <v>39</v>
      </c>
      <c r="F631" s="21">
        <v>38</v>
      </c>
    </row>
    <row r="632" spans="1:6" ht="29.25" thickBot="1">
      <c r="A632" s="15">
        <v>881246</v>
      </c>
      <c r="B632" s="18" t="s">
        <v>1295</v>
      </c>
      <c r="C632" s="15">
        <v>1</v>
      </c>
      <c r="D632" s="15">
        <v>1</v>
      </c>
      <c r="E632" s="19">
        <v>41</v>
      </c>
      <c r="F632" s="21">
        <v>40</v>
      </c>
    </row>
    <row r="633" spans="1:6" ht="29.25" thickBot="1">
      <c r="A633" s="15">
        <v>881249</v>
      </c>
      <c r="B633" s="18" t="s">
        <v>1296</v>
      </c>
      <c r="C633" s="15">
        <v>1</v>
      </c>
      <c r="D633" s="15">
        <v>1</v>
      </c>
      <c r="E633" s="19">
        <v>37</v>
      </c>
      <c r="F633" s="21">
        <v>36</v>
      </c>
    </row>
    <row r="634" spans="1:6" ht="29.25" thickBot="1">
      <c r="A634" s="15">
        <v>881235</v>
      </c>
      <c r="B634" s="18" t="s">
        <v>1297</v>
      </c>
      <c r="C634" s="15">
        <v>1</v>
      </c>
      <c r="D634" s="15">
        <v>1</v>
      </c>
      <c r="E634" s="19">
        <v>28</v>
      </c>
      <c r="F634" s="21">
        <v>27</v>
      </c>
    </row>
    <row r="635" spans="1:6" ht="29.25" thickBot="1">
      <c r="A635" s="15">
        <v>881338</v>
      </c>
      <c r="B635" s="18" t="s">
        <v>1298</v>
      </c>
      <c r="C635" s="15">
        <v>1</v>
      </c>
      <c r="D635" s="15">
        <v>1</v>
      </c>
      <c r="E635" s="19">
        <v>47</v>
      </c>
      <c r="F635" s="21">
        <v>46</v>
      </c>
    </row>
    <row r="636" spans="1:6" ht="29.25" thickBot="1">
      <c r="A636" s="15">
        <v>881339</v>
      </c>
      <c r="B636" s="18" t="s">
        <v>1299</v>
      </c>
      <c r="C636" s="15">
        <v>1</v>
      </c>
      <c r="D636" s="15">
        <v>1</v>
      </c>
      <c r="E636" s="19">
        <v>57</v>
      </c>
      <c r="F636" s="21">
        <v>56</v>
      </c>
    </row>
    <row r="637" spans="1:6" ht="29.25" thickBot="1">
      <c r="A637" s="15">
        <v>881344</v>
      </c>
      <c r="B637" s="18" t="s">
        <v>1300</v>
      </c>
      <c r="C637" s="15">
        <v>1</v>
      </c>
      <c r="D637" s="15">
        <v>1</v>
      </c>
      <c r="E637" s="19">
        <v>54</v>
      </c>
      <c r="F637" s="21">
        <v>53</v>
      </c>
    </row>
    <row r="638" spans="1:6" ht="29.25" thickBot="1">
      <c r="A638" s="15">
        <v>881368</v>
      </c>
      <c r="B638" s="18" t="s">
        <v>1301</v>
      </c>
      <c r="C638" s="15">
        <v>1</v>
      </c>
      <c r="D638" s="15">
        <v>1</v>
      </c>
      <c r="E638" s="19">
        <v>27</v>
      </c>
      <c r="F638" s="21">
        <v>26</v>
      </c>
    </row>
    <row r="639" spans="1:6" ht="29.25" thickBot="1">
      <c r="A639" s="15">
        <v>880311</v>
      </c>
      <c r="B639" s="18" t="s">
        <v>1302</v>
      </c>
      <c r="C639" s="15">
        <v>1</v>
      </c>
      <c r="D639" s="15">
        <v>1</v>
      </c>
      <c r="E639" s="19">
        <v>40</v>
      </c>
      <c r="F639" s="21">
        <v>39</v>
      </c>
    </row>
    <row r="640" spans="1:6" ht="29.25" thickBot="1">
      <c r="A640" s="15">
        <v>881210</v>
      </c>
      <c r="B640" s="18" t="s">
        <v>1303</v>
      </c>
      <c r="C640" s="15">
        <v>1</v>
      </c>
      <c r="D640" s="15">
        <v>1</v>
      </c>
      <c r="E640" s="19">
        <v>43</v>
      </c>
      <c r="F640" s="21">
        <v>42</v>
      </c>
    </row>
    <row r="641" spans="1:6" ht="29.25" thickBot="1">
      <c r="A641" s="15">
        <v>881215</v>
      </c>
      <c r="B641" s="18" t="s">
        <v>1304</v>
      </c>
      <c r="C641" s="15">
        <v>1</v>
      </c>
      <c r="D641" s="15">
        <v>1</v>
      </c>
      <c r="E641" s="19">
        <v>33</v>
      </c>
      <c r="F641" s="21">
        <v>32</v>
      </c>
    </row>
    <row r="642" spans="1:6" ht="29.25" thickBot="1">
      <c r="A642" s="15">
        <v>881242</v>
      </c>
      <c r="B642" s="18" t="s">
        <v>1305</v>
      </c>
      <c r="C642" s="15">
        <v>1</v>
      </c>
      <c r="D642" s="15">
        <v>1</v>
      </c>
      <c r="E642" s="19">
        <v>51</v>
      </c>
      <c r="F642" s="21">
        <v>50</v>
      </c>
    </row>
    <row r="643" spans="1:6" ht="29.25" thickBot="1">
      <c r="A643" s="15">
        <v>881337</v>
      </c>
      <c r="B643" s="18" t="s">
        <v>1306</v>
      </c>
      <c r="C643" s="15">
        <v>1</v>
      </c>
      <c r="D643" s="15">
        <v>1</v>
      </c>
      <c r="E643" s="19">
        <v>46</v>
      </c>
      <c r="F643" s="21">
        <v>45</v>
      </c>
    </row>
    <row r="644" spans="1:6" ht="29.25" thickBot="1">
      <c r="A644" s="15">
        <v>881340</v>
      </c>
      <c r="B644" s="18" t="s">
        <v>1307</v>
      </c>
      <c r="C644" s="15">
        <v>1</v>
      </c>
      <c r="D644" s="15">
        <v>1</v>
      </c>
      <c r="E644" s="19">
        <v>49</v>
      </c>
      <c r="F644" s="21">
        <v>48</v>
      </c>
    </row>
    <row r="645" spans="1:6" ht="29.25" thickBot="1">
      <c r="A645" s="15">
        <v>881345</v>
      </c>
      <c r="B645" s="18" t="s">
        <v>1308</v>
      </c>
      <c r="C645" s="15">
        <v>1</v>
      </c>
      <c r="D645" s="15">
        <v>1</v>
      </c>
      <c r="E645" s="19">
        <v>25</v>
      </c>
      <c r="F645" s="21">
        <v>24</v>
      </c>
    </row>
    <row r="646" spans="1:6" ht="29.25" thickBot="1">
      <c r="A646" s="15">
        <v>881367</v>
      </c>
      <c r="B646" s="18" t="s">
        <v>1309</v>
      </c>
      <c r="C646" s="15">
        <v>1</v>
      </c>
      <c r="D646" s="15">
        <v>1</v>
      </c>
      <c r="E646" s="19">
        <v>34</v>
      </c>
      <c r="F646" s="21">
        <v>33</v>
      </c>
    </row>
    <row r="647" spans="1:6" ht="29.25" thickBot="1">
      <c r="A647" s="15">
        <v>881373</v>
      </c>
      <c r="B647" s="18" t="s">
        <v>1310</v>
      </c>
      <c r="C647" s="15">
        <v>1</v>
      </c>
      <c r="D647" s="15">
        <v>1</v>
      </c>
      <c r="E647" s="19">
        <v>46</v>
      </c>
      <c r="F647" s="21">
        <v>45</v>
      </c>
    </row>
    <row r="648" spans="1:6" ht="29.25" thickBot="1">
      <c r="A648" s="15">
        <v>881418</v>
      </c>
      <c r="B648" s="18" t="s">
        <v>1311</v>
      </c>
      <c r="C648" s="15">
        <v>1</v>
      </c>
      <c r="D648" s="15">
        <v>1</v>
      </c>
      <c r="E648" s="19">
        <v>42</v>
      </c>
      <c r="F648" s="21">
        <v>41</v>
      </c>
    </row>
    <row r="649" spans="1:6" ht="29.25" thickBot="1">
      <c r="A649" s="15">
        <v>881422</v>
      </c>
      <c r="B649" s="18" t="s">
        <v>1312</v>
      </c>
      <c r="C649" s="15">
        <v>1</v>
      </c>
      <c r="D649" s="15">
        <v>1</v>
      </c>
      <c r="E649" s="19">
        <v>48</v>
      </c>
      <c r="F649" s="21">
        <v>47</v>
      </c>
    </row>
    <row r="650" spans="1:6" ht="29.25" thickBot="1">
      <c r="A650" s="15">
        <v>881399</v>
      </c>
      <c r="B650" s="18" t="s">
        <v>1313</v>
      </c>
      <c r="C650" s="15">
        <v>1</v>
      </c>
      <c r="D650" s="15">
        <v>1</v>
      </c>
      <c r="E650" s="19">
        <v>36</v>
      </c>
      <c r="F650" s="21">
        <v>35</v>
      </c>
    </row>
    <row r="651" spans="1:6" ht="29.25" thickBot="1">
      <c r="A651" s="15">
        <v>881205</v>
      </c>
      <c r="B651" s="18" t="s">
        <v>1314</v>
      </c>
      <c r="C651" s="15">
        <v>1</v>
      </c>
      <c r="D651" s="15">
        <v>1</v>
      </c>
      <c r="E651" s="19">
        <v>38</v>
      </c>
      <c r="F651" s="21">
        <v>37</v>
      </c>
    </row>
    <row r="652" spans="1:6" ht="29.25" thickBot="1">
      <c r="A652" s="15">
        <v>881257</v>
      </c>
      <c r="B652" s="18" t="s">
        <v>1315</v>
      </c>
      <c r="C652" s="15">
        <v>1</v>
      </c>
      <c r="D652" s="15">
        <v>1</v>
      </c>
      <c r="E652" s="19">
        <v>32</v>
      </c>
      <c r="F652" s="21">
        <v>31</v>
      </c>
    </row>
    <row r="653" spans="1:6" ht="29.25" thickBot="1">
      <c r="A653" s="15">
        <v>881261</v>
      </c>
      <c r="B653" s="18" t="s">
        <v>1316</v>
      </c>
      <c r="C653" s="15">
        <v>1</v>
      </c>
      <c r="D653" s="15">
        <v>1</v>
      </c>
      <c r="E653" s="19">
        <v>46</v>
      </c>
      <c r="F653" s="21">
        <v>45</v>
      </c>
    </row>
    <row r="654" spans="1:6" ht="29.25" thickBot="1">
      <c r="A654" s="15">
        <v>881336</v>
      </c>
      <c r="B654" s="18" t="s">
        <v>1317</v>
      </c>
      <c r="C654" s="15">
        <v>1</v>
      </c>
      <c r="D654" s="15">
        <v>1</v>
      </c>
      <c r="E654" s="19">
        <v>33</v>
      </c>
      <c r="F654" s="21">
        <v>32</v>
      </c>
    </row>
    <row r="655" spans="1:6" ht="29.25" thickBot="1">
      <c r="A655" s="15">
        <v>881341</v>
      </c>
      <c r="B655" s="18" t="s">
        <v>1318</v>
      </c>
      <c r="C655" s="15">
        <v>1</v>
      </c>
      <c r="D655" s="15">
        <v>1</v>
      </c>
      <c r="E655" s="19">
        <v>39</v>
      </c>
      <c r="F655" s="21">
        <v>38</v>
      </c>
    </row>
    <row r="656" spans="1:6" ht="29.25" thickBot="1">
      <c r="A656" s="15">
        <v>881369</v>
      </c>
      <c r="B656" s="18" t="s">
        <v>1319</v>
      </c>
      <c r="C656" s="15">
        <v>1</v>
      </c>
      <c r="D656" s="15">
        <v>1</v>
      </c>
      <c r="E656" s="19">
        <v>51</v>
      </c>
      <c r="F656" s="21">
        <v>50</v>
      </c>
    </row>
    <row r="657" spans="1:6" ht="29.25" thickBot="1">
      <c r="A657" s="15">
        <v>881375</v>
      </c>
      <c r="B657" s="18" t="s">
        <v>1320</v>
      </c>
      <c r="C657" s="15">
        <v>1</v>
      </c>
      <c r="D657" s="15">
        <v>1</v>
      </c>
      <c r="E657" s="19">
        <v>47</v>
      </c>
      <c r="F657" s="21">
        <v>46</v>
      </c>
    </row>
    <row r="658" spans="1:6" ht="29.25" thickBot="1">
      <c r="A658" s="15">
        <v>881421</v>
      </c>
      <c r="B658" s="18" t="s">
        <v>1321</v>
      </c>
      <c r="C658" s="15">
        <v>1</v>
      </c>
      <c r="D658" s="15">
        <v>1</v>
      </c>
      <c r="E658" s="19">
        <v>37</v>
      </c>
      <c r="F658" s="21">
        <v>36</v>
      </c>
    </row>
    <row r="659" spans="1:6" ht="29.25" thickBot="1">
      <c r="A659" s="15">
        <v>881424</v>
      </c>
      <c r="B659" s="18" t="s">
        <v>1322</v>
      </c>
      <c r="C659" s="15">
        <v>1</v>
      </c>
      <c r="D659" s="15">
        <v>1</v>
      </c>
      <c r="E659" s="19">
        <v>48</v>
      </c>
      <c r="F659" s="21">
        <v>47</v>
      </c>
    </row>
    <row r="660" spans="1:6" ht="29.25" thickBot="1">
      <c r="A660" s="15">
        <v>881454</v>
      </c>
      <c r="B660" s="18" t="s">
        <v>1323</v>
      </c>
      <c r="C660" s="15">
        <v>1</v>
      </c>
      <c r="D660" s="15">
        <v>1</v>
      </c>
      <c r="E660" s="19">
        <v>42</v>
      </c>
      <c r="F660" s="21">
        <v>41</v>
      </c>
    </row>
    <row r="661" spans="1:6" ht="29.25" thickBot="1">
      <c r="A661" s="15">
        <v>881175</v>
      </c>
      <c r="B661" s="18" t="s">
        <v>1324</v>
      </c>
      <c r="C661" s="15">
        <v>1</v>
      </c>
      <c r="D661" s="15">
        <v>1</v>
      </c>
      <c r="E661" s="19">
        <v>31</v>
      </c>
      <c r="F661" s="21">
        <v>30</v>
      </c>
    </row>
    <row r="662" spans="1:6" ht="29.25" thickBot="1">
      <c r="A662" s="15">
        <v>881229</v>
      </c>
      <c r="B662" s="18" t="s">
        <v>1325</v>
      </c>
      <c r="C662" s="15">
        <v>1</v>
      </c>
      <c r="D662" s="15">
        <v>1</v>
      </c>
      <c r="E662" s="19">
        <v>30</v>
      </c>
      <c r="F662" s="21">
        <v>29</v>
      </c>
    </row>
    <row r="663" spans="1:6" ht="29.25" thickBot="1">
      <c r="A663" s="15">
        <v>881307</v>
      </c>
      <c r="B663" s="18" t="s">
        <v>1326</v>
      </c>
      <c r="C663" s="15">
        <v>1</v>
      </c>
      <c r="D663" s="15">
        <v>1</v>
      </c>
      <c r="E663" s="19">
        <v>39</v>
      </c>
      <c r="F663" s="21">
        <v>38</v>
      </c>
    </row>
    <row r="664" spans="1:6" ht="29.25" thickBot="1">
      <c r="A664" s="15">
        <v>881310</v>
      </c>
      <c r="B664" s="18" t="s">
        <v>1327</v>
      </c>
      <c r="C664" s="15">
        <v>1</v>
      </c>
      <c r="D664" s="15">
        <v>1</v>
      </c>
      <c r="E664" s="19">
        <v>50</v>
      </c>
      <c r="F664" s="21">
        <v>49</v>
      </c>
    </row>
    <row r="665" spans="1:6" ht="29.25" thickBot="1">
      <c r="A665" s="15">
        <v>881391</v>
      </c>
      <c r="B665" s="18" t="s">
        <v>1328</v>
      </c>
      <c r="C665" s="15">
        <v>1</v>
      </c>
      <c r="D665" s="15">
        <v>1</v>
      </c>
      <c r="E665" s="19">
        <v>25</v>
      </c>
      <c r="F665" s="21">
        <v>24</v>
      </c>
    </row>
    <row r="666" spans="1:6" ht="29.25" thickBot="1">
      <c r="A666" s="15">
        <v>881427</v>
      </c>
      <c r="B666" s="18" t="s">
        <v>1329</v>
      </c>
      <c r="C666" s="15">
        <v>1</v>
      </c>
      <c r="D666" s="15">
        <v>1</v>
      </c>
      <c r="E666" s="19">
        <v>14</v>
      </c>
      <c r="F666" s="21">
        <v>13</v>
      </c>
    </row>
    <row r="667" spans="1:6" ht="29.25" thickBot="1">
      <c r="A667" s="15">
        <v>881428</v>
      </c>
      <c r="B667" s="18" t="s">
        <v>1330</v>
      </c>
      <c r="C667" s="15">
        <v>1</v>
      </c>
      <c r="D667" s="15">
        <v>1</v>
      </c>
      <c r="E667" s="19">
        <v>0</v>
      </c>
      <c r="F667" s="21">
        <v>-1</v>
      </c>
    </row>
    <row r="668" spans="1:6" ht="29.25" thickBot="1">
      <c r="A668" s="15">
        <v>881431</v>
      </c>
      <c r="B668" s="18" t="s">
        <v>1331</v>
      </c>
      <c r="C668" s="15">
        <v>1</v>
      </c>
      <c r="D668" s="15">
        <v>1</v>
      </c>
      <c r="E668" s="19">
        <v>0</v>
      </c>
      <c r="F668" s="21">
        <v>-1</v>
      </c>
    </row>
    <row r="669" spans="1:6" ht="29.25" thickBot="1">
      <c r="A669" s="15">
        <v>881433</v>
      </c>
      <c r="B669" s="18" t="s">
        <v>1332</v>
      </c>
      <c r="C669" s="15">
        <v>1</v>
      </c>
      <c r="D669" s="15">
        <v>1</v>
      </c>
      <c r="E669" s="19">
        <v>0</v>
      </c>
      <c r="F669" s="21">
        <v>-1</v>
      </c>
    </row>
    <row r="670" spans="1:6" ht="29.25" thickBot="1">
      <c r="A670" s="15">
        <v>881124</v>
      </c>
      <c r="B670" s="18" t="s">
        <v>1333</v>
      </c>
      <c r="C670" s="15">
        <v>1</v>
      </c>
      <c r="D670" s="15">
        <v>1</v>
      </c>
      <c r="E670" s="19">
        <v>0</v>
      </c>
      <c r="F670" s="21">
        <v>-1</v>
      </c>
    </row>
    <row r="671" spans="1:6" ht="29.25" thickBot="1">
      <c r="A671" s="15">
        <v>881125</v>
      </c>
      <c r="B671" s="18" t="s">
        <v>1334</v>
      </c>
      <c r="C671" s="15">
        <v>1</v>
      </c>
      <c r="D671" s="15">
        <v>1</v>
      </c>
      <c r="E671" s="19">
        <v>0</v>
      </c>
      <c r="F671" s="21">
        <v>-1</v>
      </c>
    </row>
    <row r="672" spans="1:6" ht="29.25" thickBot="1">
      <c r="A672" s="15">
        <v>881248</v>
      </c>
      <c r="B672" s="18" t="s">
        <v>1335</v>
      </c>
      <c r="C672" s="15">
        <v>1</v>
      </c>
      <c r="D672" s="15">
        <v>1</v>
      </c>
      <c r="E672" s="19">
        <v>0</v>
      </c>
      <c r="F672" s="21">
        <v>-1</v>
      </c>
    </row>
    <row r="673" spans="1:6" ht="29.25" thickBot="1">
      <c r="A673" s="15">
        <v>881251</v>
      </c>
      <c r="B673" s="18" t="s">
        <v>1336</v>
      </c>
      <c r="C673" s="15">
        <v>1</v>
      </c>
      <c r="D673" s="15">
        <v>1</v>
      </c>
      <c r="E673" s="19">
        <v>0</v>
      </c>
      <c r="F673" s="21">
        <v>-1</v>
      </c>
    </row>
    <row r="674" spans="1:6" ht="29.25" thickBot="1">
      <c r="A674" s="15">
        <v>881312</v>
      </c>
      <c r="B674" s="18" t="s">
        <v>1337</v>
      </c>
      <c r="C674" s="15">
        <v>1</v>
      </c>
      <c r="D674" s="15">
        <v>1</v>
      </c>
      <c r="E674" s="19">
        <v>0</v>
      </c>
      <c r="F674" s="21">
        <v>-1</v>
      </c>
    </row>
    <row r="675" spans="1:6" ht="29.25" thickBot="1">
      <c r="A675" s="15">
        <v>881313</v>
      </c>
      <c r="B675" s="18" t="s">
        <v>1338</v>
      </c>
      <c r="C675" s="15">
        <v>1</v>
      </c>
      <c r="D675" s="15">
        <v>1</v>
      </c>
      <c r="E675" s="19">
        <v>0</v>
      </c>
      <c r="F675" s="21">
        <v>-1</v>
      </c>
    </row>
    <row r="676" spans="1:6" ht="29.25" thickBot="1">
      <c r="A676" s="15">
        <v>881396</v>
      </c>
      <c r="B676" s="18" t="s">
        <v>1339</v>
      </c>
      <c r="C676" s="15">
        <v>1</v>
      </c>
      <c r="D676" s="15">
        <v>1</v>
      </c>
      <c r="E676" s="19">
        <v>0</v>
      </c>
      <c r="F676" s="21">
        <v>-1</v>
      </c>
    </row>
    <row r="677" spans="1:6" ht="29.25" thickBot="1">
      <c r="A677" s="15">
        <v>881397</v>
      </c>
      <c r="B677" s="18" t="s">
        <v>1340</v>
      </c>
      <c r="C677" s="15">
        <v>1</v>
      </c>
      <c r="D677" s="15">
        <v>1</v>
      </c>
      <c r="E677" s="19">
        <v>0</v>
      </c>
      <c r="F677" s="21">
        <v>-1</v>
      </c>
    </row>
    <row r="678" spans="1:6" ht="29.25" thickBot="1">
      <c r="A678" s="15">
        <v>881398</v>
      </c>
      <c r="B678" s="18" t="s">
        <v>1341</v>
      </c>
      <c r="C678" s="15">
        <v>1</v>
      </c>
      <c r="D678" s="15">
        <v>1</v>
      </c>
      <c r="E678" s="19">
        <v>0</v>
      </c>
      <c r="F678" s="21">
        <v>-1</v>
      </c>
    </row>
    <row r="679" spans="1:6" ht="29.25" thickBot="1">
      <c r="A679" s="15">
        <v>881414</v>
      </c>
      <c r="B679" s="18" t="s">
        <v>1342</v>
      </c>
      <c r="C679" s="15">
        <v>1</v>
      </c>
      <c r="D679" s="15">
        <v>1</v>
      </c>
      <c r="E679" s="19">
        <v>0</v>
      </c>
      <c r="F679" s="21">
        <v>-1</v>
      </c>
    </row>
    <row r="680" spans="1:6" ht="29.25" thickBot="1">
      <c r="A680" s="15">
        <v>881219</v>
      </c>
      <c r="B680" s="18" t="s">
        <v>1343</v>
      </c>
      <c r="C680" s="15">
        <v>1</v>
      </c>
      <c r="D680" s="15">
        <v>1</v>
      </c>
      <c r="E680" s="19">
        <v>0</v>
      </c>
      <c r="F680" s="21">
        <v>-1</v>
      </c>
    </row>
    <row r="681" spans="1:6" ht="29.25" thickBot="1">
      <c r="A681" s="15">
        <v>881222</v>
      </c>
      <c r="B681" s="18" t="s">
        <v>1344</v>
      </c>
      <c r="C681" s="15">
        <v>1</v>
      </c>
      <c r="D681" s="15">
        <v>1</v>
      </c>
      <c r="E681" s="19">
        <v>0</v>
      </c>
      <c r="F681" s="21">
        <v>-1</v>
      </c>
    </row>
    <row r="682" spans="1:6" ht="29.25" thickBot="1">
      <c r="A682" s="15">
        <v>881224</v>
      </c>
      <c r="B682" s="18" t="s">
        <v>1345</v>
      </c>
      <c r="C682" s="15">
        <v>1</v>
      </c>
      <c r="D682" s="15">
        <v>1</v>
      </c>
      <c r="E682" s="19">
        <v>0</v>
      </c>
      <c r="F682" s="21">
        <v>-1</v>
      </c>
    </row>
    <row r="683" spans="1:6" ht="29.25" thickBot="1">
      <c r="A683" s="15">
        <v>880855</v>
      </c>
      <c r="B683" s="18" t="s">
        <v>1346</v>
      </c>
      <c r="C683" s="15">
        <v>1</v>
      </c>
      <c r="D683" s="15">
        <v>1</v>
      </c>
      <c r="E683" s="19">
        <v>0</v>
      </c>
      <c r="F683" s="21">
        <v>-1</v>
      </c>
    </row>
    <row r="684" spans="1:6" ht="29.25" thickBot="1">
      <c r="A684" s="15">
        <v>881356</v>
      </c>
      <c r="B684" s="18" t="s">
        <v>1347</v>
      </c>
      <c r="C684" s="15">
        <v>1</v>
      </c>
      <c r="D684" s="15">
        <v>1</v>
      </c>
      <c r="E684" s="19">
        <v>0</v>
      </c>
      <c r="F684" s="21">
        <v>-1</v>
      </c>
    </row>
    <row r="685" spans="1:6" ht="29.25" thickBot="1">
      <c r="A685" s="15">
        <v>881357</v>
      </c>
      <c r="B685" s="18" t="s">
        <v>1348</v>
      </c>
      <c r="C685" s="15">
        <v>1</v>
      </c>
      <c r="D685" s="15">
        <v>1</v>
      </c>
      <c r="E685" s="19">
        <v>0</v>
      </c>
      <c r="F685" s="21">
        <v>-1</v>
      </c>
    </row>
    <row r="686" spans="1:6" ht="29.25" thickBot="1">
      <c r="A686" s="15">
        <v>881358</v>
      </c>
      <c r="B686" s="18" t="s">
        <v>1349</v>
      </c>
      <c r="C686" s="15">
        <v>1</v>
      </c>
      <c r="D686" s="15">
        <v>1</v>
      </c>
      <c r="E686" s="19">
        <v>0</v>
      </c>
      <c r="F686" s="21">
        <v>-1</v>
      </c>
    </row>
    <row r="687" spans="1:6" ht="29.25" thickBot="1">
      <c r="A687" s="15">
        <v>881359</v>
      </c>
      <c r="B687" s="18" t="s">
        <v>1350</v>
      </c>
      <c r="C687" s="15">
        <v>1</v>
      </c>
      <c r="D687" s="15">
        <v>1</v>
      </c>
      <c r="E687" s="19">
        <v>0</v>
      </c>
      <c r="F687" s="21">
        <v>-1</v>
      </c>
    </row>
    <row r="688" spans="1:6" ht="29.25" thickBot="1">
      <c r="A688" s="15">
        <v>881360</v>
      </c>
      <c r="B688" s="18" t="s">
        <v>1351</v>
      </c>
      <c r="C688" s="15">
        <v>1</v>
      </c>
      <c r="D688" s="15">
        <v>1</v>
      </c>
      <c r="E688" s="19">
        <v>0</v>
      </c>
      <c r="F688" s="21">
        <v>-1</v>
      </c>
    </row>
    <row r="689" spans="1:6" ht="29.25" thickBot="1">
      <c r="A689" s="15">
        <v>881361</v>
      </c>
      <c r="B689" s="18" t="s">
        <v>1352</v>
      </c>
      <c r="C689" s="15">
        <v>1</v>
      </c>
      <c r="D689" s="15">
        <v>1</v>
      </c>
      <c r="E689" s="19">
        <v>0</v>
      </c>
      <c r="F689" s="21">
        <v>-1</v>
      </c>
    </row>
    <row r="690" spans="1:6" ht="29.25" thickBot="1">
      <c r="A690" s="15">
        <v>881362</v>
      </c>
      <c r="B690" s="18" t="s">
        <v>1353</v>
      </c>
      <c r="C690" s="15">
        <v>1</v>
      </c>
      <c r="D690" s="15">
        <v>1</v>
      </c>
      <c r="E690" s="19">
        <v>0</v>
      </c>
      <c r="F690" s="21">
        <v>-1</v>
      </c>
    </row>
    <row r="691" spans="1:6" ht="29.25" thickBot="1">
      <c r="A691" s="15">
        <v>881363</v>
      </c>
      <c r="B691" s="18" t="s">
        <v>1354</v>
      </c>
      <c r="C691" s="15">
        <v>1</v>
      </c>
      <c r="D691" s="15">
        <v>1</v>
      </c>
      <c r="E691" s="19">
        <v>0</v>
      </c>
      <c r="F691" s="21">
        <v>-1</v>
      </c>
    </row>
    <row r="692" spans="1:6" ht="29.25" thickBot="1">
      <c r="A692" s="15">
        <v>881364</v>
      </c>
      <c r="B692" s="18" t="s">
        <v>1355</v>
      </c>
      <c r="C692" s="15">
        <v>1</v>
      </c>
      <c r="D692" s="15">
        <v>1</v>
      </c>
      <c r="E692" s="19">
        <v>0</v>
      </c>
      <c r="F692" s="21">
        <v>-1</v>
      </c>
    </row>
    <row r="693" spans="1:6" ht="29.25" thickBot="1">
      <c r="A693" s="15">
        <v>881365</v>
      </c>
      <c r="B693" s="18" t="s">
        <v>1356</v>
      </c>
      <c r="C693" s="15">
        <v>1</v>
      </c>
      <c r="D693" s="15">
        <v>1</v>
      </c>
      <c r="E693" s="19">
        <v>0</v>
      </c>
      <c r="F693" s="21">
        <v>-1</v>
      </c>
    </row>
    <row r="694" spans="1:6" ht="29.25" thickBot="1">
      <c r="A694" s="15">
        <v>881376</v>
      </c>
      <c r="B694" s="18" t="s">
        <v>1357</v>
      </c>
      <c r="C694" s="15">
        <v>1</v>
      </c>
      <c r="D694" s="15">
        <v>1</v>
      </c>
      <c r="E694" s="19">
        <v>0</v>
      </c>
      <c r="F694" s="21">
        <v>-1</v>
      </c>
    </row>
    <row r="695" spans="1:6" ht="29.25" thickBot="1">
      <c r="A695" s="15">
        <v>881377</v>
      </c>
      <c r="B695" s="18" t="s">
        <v>1358</v>
      </c>
      <c r="C695" s="15">
        <v>1</v>
      </c>
      <c r="D695" s="15">
        <v>1</v>
      </c>
      <c r="E695" s="19">
        <v>0</v>
      </c>
      <c r="F695" s="21">
        <v>-1</v>
      </c>
    </row>
    <row r="696" spans="1:6" ht="72" thickBot="1">
      <c r="A696" s="15">
        <v>889534</v>
      </c>
      <c r="B696" s="18" t="s">
        <v>1359</v>
      </c>
      <c r="C696" s="15">
        <v>36</v>
      </c>
      <c r="D696" s="15">
        <v>36</v>
      </c>
      <c r="E696" s="17">
        <v>20</v>
      </c>
      <c r="F696" s="21">
        <v>19</v>
      </c>
    </row>
    <row r="697" spans="1:6" ht="43.5" thickBot="1">
      <c r="A697" s="15">
        <v>734284</v>
      </c>
      <c r="B697" s="18" t="s">
        <v>1360</v>
      </c>
      <c r="C697" s="15">
        <v>1</v>
      </c>
      <c r="D697" s="15">
        <v>1</v>
      </c>
      <c r="E697" s="19">
        <v>15</v>
      </c>
      <c r="F697" s="21">
        <v>14</v>
      </c>
    </row>
    <row r="698" spans="1:6" ht="72" thickBot="1">
      <c r="A698" s="28">
        <v>734364</v>
      </c>
      <c r="B698" s="18" t="s">
        <v>1361</v>
      </c>
      <c r="C698" s="15">
        <v>1</v>
      </c>
      <c r="D698" s="15">
        <v>1</v>
      </c>
      <c r="E698" s="19">
        <v>50</v>
      </c>
      <c r="F698" s="21">
        <v>49</v>
      </c>
    </row>
    <row r="699" spans="1:6" ht="86.25" thickBot="1">
      <c r="A699" s="28">
        <v>736864</v>
      </c>
      <c r="B699" s="18" t="s">
        <v>1362</v>
      </c>
      <c r="C699" s="15">
        <v>36</v>
      </c>
      <c r="D699" s="15">
        <v>36</v>
      </c>
      <c r="E699" s="17">
        <v>20</v>
      </c>
      <c r="F699" s="21">
        <v>19</v>
      </c>
    </row>
    <row r="700" spans="1:6" ht="86.25" thickBot="1">
      <c r="A700" s="28">
        <v>887187</v>
      </c>
      <c r="B700" s="18" t="s">
        <v>1363</v>
      </c>
      <c r="C700" s="15">
        <v>49</v>
      </c>
      <c r="D700" s="15">
        <v>49</v>
      </c>
      <c r="E700" s="17">
        <v>20</v>
      </c>
      <c r="F700" s="21">
        <v>19</v>
      </c>
    </row>
    <row r="701" spans="1:6" ht="100.5" thickBot="1">
      <c r="A701" s="28">
        <v>891405</v>
      </c>
      <c r="B701" s="18" t="s">
        <v>1364</v>
      </c>
      <c r="C701" s="15">
        <v>81</v>
      </c>
      <c r="D701" s="15">
        <v>81</v>
      </c>
      <c r="E701" s="17">
        <v>20</v>
      </c>
      <c r="F701" s="21">
        <v>19</v>
      </c>
    </row>
    <row r="702" spans="1:6" ht="86.25" thickBot="1">
      <c r="A702" s="28">
        <v>928246</v>
      </c>
      <c r="B702" s="18" t="s">
        <v>1365</v>
      </c>
      <c r="C702" s="15">
        <v>20</v>
      </c>
      <c r="D702" s="15">
        <v>20</v>
      </c>
      <c r="E702" s="17">
        <v>20</v>
      </c>
      <c r="F702" s="21">
        <v>19</v>
      </c>
    </row>
    <row r="703" spans="1:6" ht="57.75" thickBot="1">
      <c r="A703" s="28">
        <v>933440</v>
      </c>
      <c r="B703" s="18" t="s">
        <v>1366</v>
      </c>
      <c r="C703" s="15">
        <v>36</v>
      </c>
      <c r="D703" s="15">
        <v>36</v>
      </c>
      <c r="E703" s="17">
        <v>20</v>
      </c>
      <c r="F703" s="21">
        <v>19</v>
      </c>
    </row>
    <row r="704" spans="1:6" ht="72" thickBot="1">
      <c r="A704" s="28">
        <v>852634</v>
      </c>
      <c r="B704" s="18" t="s">
        <v>1367</v>
      </c>
      <c r="C704" s="15">
        <v>1</v>
      </c>
      <c r="D704" s="15">
        <v>1</v>
      </c>
      <c r="E704" s="19">
        <v>129</v>
      </c>
      <c r="F704" s="21">
        <v>128</v>
      </c>
    </row>
    <row r="705" spans="1:6" ht="15" thickBot="1">
      <c r="A705" s="23"/>
      <c r="B705" s="23"/>
      <c r="C705" s="23"/>
      <c r="D705" s="23"/>
      <c r="E705" s="19">
        <v>0</v>
      </c>
      <c r="F705" s="21">
        <v>-1</v>
      </c>
    </row>
    <row r="706" spans="1:6" ht="15" thickBot="1">
      <c r="A706" s="23"/>
      <c r="B706" s="23"/>
      <c r="C706" s="23"/>
      <c r="D706" s="23"/>
      <c r="E706" s="19">
        <v>0</v>
      </c>
      <c r="F706" s="21">
        <v>-1</v>
      </c>
    </row>
    <row r="707" spans="1:6" ht="15" thickBot="1">
      <c r="A707" s="23"/>
      <c r="B707" s="23"/>
      <c r="C707" s="23"/>
      <c r="D707" s="23"/>
      <c r="E707" s="19">
        <v>0</v>
      </c>
      <c r="F707" s="21">
        <v>-1</v>
      </c>
    </row>
    <row r="708" spans="1:6" ht="15" thickBot="1">
      <c r="A708" s="23"/>
      <c r="B708" s="23"/>
      <c r="C708" s="23"/>
      <c r="D708" s="23"/>
      <c r="E708" s="19">
        <v>0</v>
      </c>
      <c r="F708" s="21">
        <v>-1</v>
      </c>
    </row>
    <row r="709" spans="1:6" ht="15" thickBot="1">
      <c r="A709" s="23"/>
      <c r="B709" s="23"/>
      <c r="C709" s="23"/>
      <c r="D709" s="23"/>
      <c r="E709" s="19">
        <v>0</v>
      </c>
      <c r="F709" s="21">
        <v>-1</v>
      </c>
    </row>
    <row r="710" spans="1:6" ht="15" thickBot="1">
      <c r="A710" s="23"/>
      <c r="B710" s="23"/>
      <c r="C710" s="23"/>
      <c r="D710" s="23"/>
      <c r="E710" s="19">
        <v>0</v>
      </c>
      <c r="F710" s="21">
        <v>-1</v>
      </c>
    </row>
    <row r="711" spans="1:6" ht="15" thickBot="1">
      <c r="A711" s="23"/>
      <c r="B711" s="23"/>
      <c r="C711" s="23"/>
      <c r="D711" s="23"/>
      <c r="E711" s="19">
        <v>0</v>
      </c>
      <c r="F711" s="21">
        <v>-1</v>
      </c>
    </row>
    <row r="712" spans="1:6" ht="15" thickBot="1">
      <c r="A712" s="23"/>
      <c r="B712" s="23"/>
      <c r="C712" s="23"/>
      <c r="D712" s="23"/>
      <c r="E712" s="19">
        <v>0</v>
      </c>
      <c r="F712" s="21">
        <v>-1</v>
      </c>
    </row>
    <row r="713" spans="1:6" ht="15" thickBot="1">
      <c r="A713" s="23"/>
      <c r="B713" s="23"/>
      <c r="C713" s="23"/>
      <c r="D713" s="23"/>
      <c r="E713" s="19">
        <v>0</v>
      </c>
      <c r="F713" s="21">
        <v>-1</v>
      </c>
    </row>
    <row r="714" spans="1:6" ht="15" thickBot="1">
      <c r="A714" s="23"/>
      <c r="B714" s="23"/>
      <c r="C714" s="23"/>
      <c r="D714" s="23"/>
      <c r="E714" s="19">
        <v>0</v>
      </c>
      <c r="F714" s="21">
        <v>-1</v>
      </c>
    </row>
    <row r="715" spans="1:6" ht="15" thickBot="1">
      <c r="A715" s="23"/>
      <c r="B715" s="23"/>
      <c r="C715" s="23"/>
      <c r="D715" s="23"/>
      <c r="E715" s="19">
        <v>0</v>
      </c>
      <c r="F715" s="21">
        <v>-1</v>
      </c>
    </row>
    <row r="716" spans="1:6" ht="15" thickBot="1">
      <c r="A716" s="23"/>
      <c r="B716" s="23"/>
      <c r="C716" s="23"/>
      <c r="D716" s="23"/>
      <c r="E716" s="19">
        <v>0</v>
      </c>
      <c r="F716" s="21">
        <v>-1</v>
      </c>
    </row>
    <row r="717" spans="1:6" ht="15" thickBot="1">
      <c r="A717" s="23"/>
      <c r="B717" s="23"/>
      <c r="C717" s="23"/>
      <c r="D717" s="23"/>
      <c r="E717" s="19">
        <v>0</v>
      </c>
      <c r="F717" s="21">
        <v>-1</v>
      </c>
    </row>
    <row r="718" spans="1:6" ht="15" thickBot="1">
      <c r="A718" s="23"/>
      <c r="B718" s="23"/>
      <c r="C718" s="23"/>
      <c r="D718" s="23"/>
      <c r="E718" s="19">
        <v>0</v>
      </c>
      <c r="F718" s="21">
        <v>-1</v>
      </c>
    </row>
    <row r="719" spans="1:6" ht="15" thickBot="1">
      <c r="A719" s="23"/>
      <c r="B719" s="23"/>
      <c r="C719" s="23"/>
      <c r="D719" s="23"/>
      <c r="E719" s="19">
        <v>0</v>
      </c>
      <c r="F719" s="21">
        <v>-1</v>
      </c>
    </row>
    <row r="720" spans="1:6" ht="15" thickBot="1">
      <c r="A720" s="23"/>
      <c r="B720" s="23"/>
      <c r="C720" s="23"/>
      <c r="D720" s="23"/>
      <c r="E720" s="19">
        <v>0</v>
      </c>
      <c r="F720" s="21">
        <v>-1</v>
      </c>
    </row>
    <row r="721" spans="1:6" ht="15" thickBot="1">
      <c r="A721" s="23"/>
      <c r="B721" s="23"/>
      <c r="C721" s="23"/>
      <c r="D721" s="23"/>
      <c r="E721" s="19">
        <v>0</v>
      </c>
      <c r="F721" s="21">
        <v>-1</v>
      </c>
    </row>
    <row r="722" spans="1:6" ht="15" thickBot="1">
      <c r="A722" s="23"/>
      <c r="B722" s="23"/>
      <c r="C722" s="23"/>
      <c r="D722" s="23"/>
      <c r="E722" s="19">
        <v>0</v>
      </c>
      <c r="F722" s="21">
        <v>-1</v>
      </c>
    </row>
    <row r="723" spans="1:6" ht="15" thickBot="1">
      <c r="A723" s="23"/>
      <c r="B723" s="23"/>
      <c r="C723" s="23"/>
      <c r="D723" s="23"/>
      <c r="E723" s="19">
        <v>0</v>
      </c>
      <c r="F723" s="21">
        <v>-1</v>
      </c>
    </row>
    <row r="724" spans="1:6" ht="15" thickBot="1">
      <c r="A724" s="23"/>
      <c r="B724" s="23"/>
      <c r="C724" s="23"/>
      <c r="D724" s="23"/>
      <c r="E724" s="19">
        <v>0</v>
      </c>
      <c r="F724" s="21">
        <v>-1</v>
      </c>
    </row>
    <row r="725" spans="1:6" ht="15" thickBot="1">
      <c r="A725" s="23"/>
      <c r="B725" s="23"/>
      <c r="C725" s="23"/>
      <c r="D725" s="23"/>
      <c r="E725" s="19">
        <v>0</v>
      </c>
      <c r="F725" s="21">
        <v>-1</v>
      </c>
    </row>
    <row r="726" spans="1:6" ht="15" thickBot="1">
      <c r="A726" s="23"/>
      <c r="B726" s="23"/>
      <c r="C726" s="23"/>
      <c r="D726" s="23"/>
      <c r="E726" s="19">
        <v>0</v>
      </c>
      <c r="F726" s="21">
        <v>-1</v>
      </c>
    </row>
    <row r="727" spans="1:6" ht="15" thickBot="1">
      <c r="A727" s="23"/>
      <c r="B727" s="23"/>
      <c r="C727" s="23"/>
      <c r="D727" s="23"/>
      <c r="E727" s="19">
        <v>0</v>
      </c>
      <c r="F727" s="21">
        <v>-1</v>
      </c>
    </row>
    <row r="728" spans="1:6" ht="15" thickBot="1">
      <c r="A728" s="23"/>
      <c r="B728" s="23"/>
      <c r="C728" s="23"/>
      <c r="D728" s="23"/>
      <c r="E728" s="19">
        <v>0</v>
      </c>
      <c r="F728" s="21">
        <v>-1</v>
      </c>
    </row>
    <row r="729" spans="1:6" ht="15" thickBot="1">
      <c r="A729" s="23"/>
      <c r="B729" s="23"/>
      <c r="C729" s="23"/>
      <c r="D729" s="23"/>
      <c r="E729" s="19">
        <v>0</v>
      </c>
      <c r="F729" s="21">
        <v>-1</v>
      </c>
    </row>
    <row r="730" spans="1:6" ht="15" thickBot="1">
      <c r="A730" s="23"/>
      <c r="B730" s="23"/>
      <c r="C730" s="23"/>
      <c r="D730" s="23"/>
      <c r="E730" s="19">
        <v>0</v>
      </c>
      <c r="F730" s="21">
        <v>-1</v>
      </c>
    </row>
    <row r="731" spans="1:6" ht="15" thickBot="1">
      <c r="A731" s="23"/>
      <c r="B731" s="23"/>
      <c r="C731" s="23"/>
      <c r="D731" s="23"/>
      <c r="E731" s="19">
        <v>0</v>
      </c>
      <c r="F731" s="21">
        <v>-1</v>
      </c>
    </row>
    <row r="732" spans="1:6" ht="15" thickBot="1">
      <c r="A732" s="23"/>
      <c r="B732" s="23"/>
      <c r="C732" s="23"/>
      <c r="D732" s="23"/>
      <c r="E732" s="19">
        <v>0</v>
      </c>
      <c r="F732" s="21">
        <v>-1</v>
      </c>
    </row>
    <row r="733" spans="1:6" ht="15" thickBot="1">
      <c r="A733" s="23"/>
      <c r="B733" s="23"/>
      <c r="C733" s="23"/>
      <c r="D733" s="23"/>
      <c r="E733" s="19">
        <v>0</v>
      </c>
      <c r="F733" s="21">
        <v>-1</v>
      </c>
    </row>
    <row r="734" spans="1:6" ht="15" thickBot="1">
      <c r="A734" s="23"/>
      <c r="B734" s="23"/>
      <c r="C734" s="23"/>
      <c r="D734" s="23"/>
      <c r="E734" s="19">
        <v>0</v>
      </c>
      <c r="F734" s="21">
        <v>-1</v>
      </c>
    </row>
    <row r="735" spans="1:6" ht="15" thickBot="1">
      <c r="A735" s="23"/>
      <c r="B735" s="23"/>
      <c r="C735" s="23"/>
      <c r="D735" s="23"/>
      <c r="E735" s="19">
        <v>0</v>
      </c>
      <c r="F735" s="21">
        <v>-1</v>
      </c>
    </row>
    <row r="736" spans="1:6" ht="15" thickBot="1">
      <c r="A736" s="23"/>
      <c r="B736" s="23"/>
      <c r="C736" s="23"/>
      <c r="D736" s="23"/>
      <c r="E736" s="19">
        <v>0</v>
      </c>
      <c r="F736" s="21">
        <v>-1</v>
      </c>
    </row>
    <row r="737" spans="1:6" ht="15" thickBot="1">
      <c r="A737" s="23"/>
      <c r="B737" s="23"/>
      <c r="C737" s="23"/>
      <c r="D737" s="23"/>
      <c r="E737" s="19">
        <v>0</v>
      </c>
      <c r="F737" s="21">
        <v>-1</v>
      </c>
    </row>
    <row r="738" spans="1:6" ht="15" thickBot="1">
      <c r="A738" s="23"/>
      <c r="B738" s="23"/>
      <c r="C738" s="23"/>
      <c r="D738" s="23"/>
      <c r="E738" s="19">
        <v>0</v>
      </c>
      <c r="F738" s="21">
        <v>-1</v>
      </c>
    </row>
    <row r="739" spans="1:6" ht="15" thickBot="1">
      <c r="A739" s="23"/>
      <c r="B739" s="23"/>
      <c r="C739" s="23"/>
      <c r="D739" s="23"/>
      <c r="E739" s="19">
        <v>0</v>
      </c>
      <c r="F739" s="21">
        <v>-1</v>
      </c>
    </row>
    <row r="740" spans="1:6" ht="15" thickBot="1">
      <c r="A740" s="23"/>
      <c r="B740" s="23"/>
      <c r="C740" s="23"/>
      <c r="D740" s="23"/>
      <c r="E740" s="19">
        <v>0</v>
      </c>
      <c r="F740" s="21">
        <v>-1</v>
      </c>
    </row>
    <row r="741" spans="1:6" ht="15" thickBot="1">
      <c r="A741" s="23"/>
      <c r="B741" s="23"/>
      <c r="C741" s="23"/>
      <c r="D741" s="23"/>
      <c r="E741" s="19">
        <v>0</v>
      </c>
      <c r="F741" s="21">
        <v>-1</v>
      </c>
    </row>
    <row r="742" spans="1:6" ht="15" thickBot="1">
      <c r="A742" s="23"/>
      <c r="B742" s="23"/>
      <c r="C742" s="23"/>
      <c r="D742" s="23"/>
      <c r="E742" s="19">
        <v>0</v>
      </c>
      <c r="F742" s="21">
        <v>-1</v>
      </c>
    </row>
    <row r="743" spans="1:6" ht="15" thickBot="1">
      <c r="A743" s="23"/>
      <c r="B743" s="23"/>
      <c r="C743" s="23"/>
      <c r="D743" s="23"/>
      <c r="E743" s="19">
        <v>0</v>
      </c>
      <c r="F743" s="21">
        <v>-1</v>
      </c>
    </row>
    <row r="744" spans="1:6" ht="15" thickBot="1">
      <c r="A744" s="23"/>
      <c r="B744" s="23"/>
      <c r="C744" s="23"/>
      <c r="D744" s="23"/>
      <c r="E744" s="19">
        <v>0</v>
      </c>
      <c r="F744" s="21">
        <v>-1</v>
      </c>
    </row>
    <row r="745" spans="1:6" ht="15" thickBot="1">
      <c r="A745" s="23"/>
      <c r="B745" s="23"/>
      <c r="C745" s="23"/>
      <c r="D745" s="23"/>
      <c r="E745" s="19">
        <v>0</v>
      </c>
      <c r="F745" s="21">
        <v>-1</v>
      </c>
    </row>
    <row r="746" spans="1:6" ht="15" thickBot="1">
      <c r="A746" s="23"/>
      <c r="B746" s="23"/>
      <c r="C746" s="23"/>
      <c r="D746" s="23"/>
      <c r="E746" s="19">
        <v>0</v>
      </c>
      <c r="F746" s="21">
        <v>-1</v>
      </c>
    </row>
    <row r="747" spans="1:6" ht="15" thickBot="1">
      <c r="A747" s="23"/>
      <c r="B747" s="23"/>
      <c r="C747" s="23"/>
      <c r="D747" s="23"/>
      <c r="E747" s="19">
        <v>0</v>
      </c>
      <c r="F747" s="21">
        <v>-1</v>
      </c>
    </row>
    <row r="748" spans="1:6" ht="15" thickBot="1">
      <c r="A748" s="23"/>
      <c r="B748" s="23"/>
      <c r="C748" s="23"/>
      <c r="D748" s="23"/>
      <c r="E748" s="19">
        <v>0</v>
      </c>
      <c r="F748" s="21">
        <v>-1</v>
      </c>
    </row>
    <row r="749" spans="1:6" ht="15" thickBot="1">
      <c r="A749" s="23"/>
      <c r="B749" s="23"/>
      <c r="C749" s="23"/>
      <c r="D749" s="23"/>
      <c r="E749" s="19">
        <v>0</v>
      </c>
      <c r="F749" s="21">
        <v>-1</v>
      </c>
    </row>
    <row r="750" spans="1:6" ht="15" thickBot="1">
      <c r="A750" s="23"/>
      <c r="B750" s="23"/>
      <c r="C750" s="23"/>
      <c r="D750" s="23"/>
      <c r="E750" s="19">
        <v>0</v>
      </c>
      <c r="F750" s="21">
        <v>-1</v>
      </c>
    </row>
    <row r="751" spans="1:6" ht="15" thickBot="1">
      <c r="A751" s="23"/>
      <c r="B751" s="23"/>
      <c r="C751" s="23"/>
      <c r="D751" s="23"/>
      <c r="E751" s="19">
        <v>0</v>
      </c>
      <c r="F751" s="21">
        <v>-1</v>
      </c>
    </row>
    <row r="752" spans="1:6" ht="15" thickBot="1">
      <c r="A752" s="23"/>
      <c r="B752" s="23"/>
      <c r="C752" s="23"/>
      <c r="D752" s="23"/>
      <c r="E752" s="19">
        <v>0</v>
      </c>
      <c r="F752" s="21">
        <v>-1</v>
      </c>
    </row>
    <row r="753" spans="1:6" ht="15" thickBot="1">
      <c r="A753" s="23"/>
      <c r="B753" s="23"/>
      <c r="C753" s="23"/>
      <c r="D753" s="23"/>
      <c r="E753" s="19">
        <v>0</v>
      </c>
      <c r="F753" s="21">
        <v>-1</v>
      </c>
    </row>
    <row r="754" spans="1:6" ht="15" thickBot="1">
      <c r="A754" s="23"/>
      <c r="B754" s="23"/>
      <c r="C754" s="23"/>
      <c r="D754" s="23"/>
      <c r="E754" s="19">
        <v>0</v>
      </c>
      <c r="F754" s="21">
        <v>-1</v>
      </c>
    </row>
    <row r="755" spans="1:6" ht="15" thickBot="1">
      <c r="A755" s="23"/>
      <c r="B755" s="23"/>
      <c r="C755" s="23"/>
      <c r="D755" s="23"/>
      <c r="E755" s="19">
        <v>0</v>
      </c>
      <c r="F755" s="21">
        <v>-1</v>
      </c>
    </row>
    <row r="756" spans="1:6" ht="15" thickBot="1">
      <c r="A756" s="23"/>
      <c r="B756" s="23"/>
      <c r="C756" s="23"/>
      <c r="D756" s="23"/>
      <c r="E756" s="19">
        <v>0</v>
      </c>
      <c r="F756" s="21">
        <v>-1</v>
      </c>
    </row>
    <row r="757" spans="1:6" ht="15" thickBot="1">
      <c r="A757" s="23"/>
      <c r="B757" s="23"/>
      <c r="C757" s="23"/>
      <c r="D757" s="23"/>
      <c r="E757" s="19">
        <v>0</v>
      </c>
      <c r="F757" s="21">
        <v>-1</v>
      </c>
    </row>
    <row r="758" spans="1:6" ht="15" thickBot="1">
      <c r="A758" s="23"/>
      <c r="B758" s="23"/>
      <c r="C758" s="23"/>
      <c r="D758" s="23"/>
      <c r="E758" s="19">
        <v>0</v>
      </c>
      <c r="F758" s="21">
        <v>-1</v>
      </c>
    </row>
    <row r="759" spans="1:6" ht="15" thickBot="1">
      <c r="A759" s="23"/>
      <c r="B759" s="23"/>
      <c r="C759" s="23"/>
      <c r="D759" s="23"/>
      <c r="E759" s="19">
        <v>0</v>
      </c>
      <c r="F759" s="21">
        <v>-1</v>
      </c>
    </row>
    <row r="760" spans="1:6" ht="15" thickBot="1">
      <c r="A760" s="23"/>
      <c r="B760" s="23"/>
      <c r="C760" s="23"/>
      <c r="D760" s="23"/>
      <c r="E760" s="19">
        <v>0</v>
      </c>
      <c r="F760" s="21">
        <v>-1</v>
      </c>
    </row>
    <row r="761" spans="1:6" ht="15" thickBot="1">
      <c r="A761" s="23"/>
      <c r="B761" s="23"/>
      <c r="C761" s="23"/>
      <c r="D761" s="23"/>
      <c r="E761" s="19">
        <v>0</v>
      </c>
      <c r="F761" s="21">
        <v>-1</v>
      </c>
    </row>
    <row r="762" spans="1:6" ht="15" thickBot="1">
      <c r="A762" s="23"/>
      <c r="B762" s="23"/>
      <c r="C762" s="23"/>
      <c r="D762" s="23"/>
      <c r="E762" s="19">
        <v>0</v>
      </c>
      <c r="F762" s="21">
        <v>-1</v>
      </c>
    </row>
    <row r="763" spans="1:6" ht="15" thickBot="1">
      <c r="A763" s="23"/>
      <c r="B763" s="23"/>
      <c r="C763" s="23"/>
      <c r="D763" s="23"/>
      <c r="E763" s="19">
        <v>0</v>
      </c>
      <c r="F763" s="21">
        <v>-1</v>
      </c>
    </row>
    <row r="764" spans="1:6" ht="15" thickBot="1">
      <c r="A764" s="23"/>
      <c r="B764" s="23"/>
      <c r="C764" s="23"/>
      <c r="D764" s="23"/>
      <c r="E764" s="19">
        <v>0</v>
      </c>
      <c r="F764" s="21">
        <v>-1</v>
      </c>
    </row>
    <row r="765" spans="1:6" ht="15" thickBot="1">
      <c r="A765" s="23"/>
      <c r="B765" s="23"/>
      <c r="C765" s="23"/>
      <c r="D765" s="23"/>
      <c r="E765" s="19">
        <v>0</v>
      </c>
      <c r="F765" s="21">
        <v>-1</v>
      </c>
    </row>
    <row r="766" spans="1:6" ht="15" thickBot="1">
      <c r="A766" s="23"/>
      <c r="B766" s="23"/>
      <c r="C766" s="23"/>
      <c r="D766" s="23"/>
      <c r="E766" s="19">
        <v>0</v>
      </c>
      <c r="F766" s="21">
        <v>-1</v>
      </c>
    </row>
    <row r="767" spans="1:6" ht="15" thickBot="1">
      <c r="A767" s="23"/>
      <c r="B767" s="23"/>
      <c r="C767" s="23"/>
      <c r="D767" s="23"/>
      <c r="E767" s="19">
        <v>0</v>
      </c>
      <c r="F767" s="21">
        <v>-1</v>
      </c>
    </row>
    <row r="768" spans="1:6" ht="15" thickBot="1">
      <c r="A768" s="23"/>
      <c r="B768" s="23"/>
      <c r="C768" s="23"/>
      <c r="D768" s="23"/>
      <c r="E768" s="19">
        <v>0</v>
      </c>
      <c r="F768" s="21">
        <v>-1</v>
      </c>
    </row>
    <row r="769" spans="1:6" ht="15" thickBot="1">
      <c r="A769" s="23"/>
      <c r="B769" s="23"/>
      <c r="C769" s="23"/>
      <c r="D769" s="23"/>
      <c r="E769" s="19">
        <v>0</v>
      </c>
      <c r="F769" s="21">
        <v>-1</v>
      </c>
    </row>
    <row r="770" spans="1:6" ht="15" thickBot="1">
      <c r="A770" s="23"/>
      <c r="B770" s="23"/>
      <c r="C770" s="23"/>
      <c r="D770" s="23"/>
      <c r="E770" s="19">
        <v>0</v>
      </c>
      <c r="F770" s="21">
        <v>-1</v>
      </c>
    </row>
    <row r="771" spans="1:6" ht="15" thickBot="1">
      <c r="A771" s="23"/>
      <c r="B771" s="23"/>
      <c r="C771" s="23"/>
      <c r="D771" s="23"/>
      <c r="E771" s="19">
        <v>0</v>
      </c>
      <c r="F771" s="21">
        <v>-1</v>
      </c>
    </row>
    <row r="772" spans="1:6" ht="15" thickBot="1">
      <c r="A772" s="23"/>
      <c r="B772" s="23"/>
      <c r="C772" s="23"/>
      <c r="D772" s="23"/>
      <c r="E772" s="19">
        <v>0</v>
      </c>
      <c r="F772" s="21">
        <v>-1</v>
      </c>
    </row>
    <row r="773" spans="1:6" ht="15" thickBot="1">
      <c r="A773" s="23"/>
      <c r="B773" s="23"/>
      <c r="C773" s="23"/>
      <c r="D773" s="23"/>
      <c r="E773" s="19">
        <v>0</v>
      </c>
      <c r="F773" s="21">
        <v>-1</v>
      </c>
    </row>
    <row r="774" spans="1:6" ht="15" thickBot="1">
      <c r="A774" s="23"/>
      <c r="B774" s="23"/>
      <c r="C774" s="23"/>
      <c r="D774" s="23"/>
      <c r="E774" s="19">
        <v>0</v>
      </c>
      <c r="F774" s="21">
        <v>-1</v>
      </c>
    </row>
    <row r="775" spans="1:6" ht="15" thickBot="1">
      <c r="A775" s="23"/>
      <c r="B775" s="23"/>
      <c r="C775" s="23"/>
      <c r="D775" s="23"/>
      <c r="E775" s="19">
        <v>0</v>
      </c>
      <c r="F775" s="21">
        <v>-1</v>
      </c>
    </row>
    <row r="776" spans="1:6" ht="15" thickBot="1">
      <c r="A776" s="23"/>
      <c r="B776" s="23"/>
      <c r="C776" s="23"/>
      <c r="D776" s="23"/>
      <c r="E776" s="19">
        <v>0</v>
      </c>
      <c r="F776" s="21">
        <v>-1</v>
      </c>
    </row>
    <row r="777" spans="1:6" ht="15" thickBot="1">
      <c r="A777" s="23"/>
      <c r="B777" s="23"/>
      <c r="C777" s="23"/>
      <c r="D777" s="23"/>
      <c r="E777" s="19">
        <v>0</v>
      </c>
      <c r="F777" s="21">
        <v>-1</v>
      </c>
    </row>
    <row r="778" spans="1:6" ht="15" thickBot="1">
      <c r="A778" s="23"/>
      <c r="B778" s="23"/>
      <c r="C778" s="23"/>
      <c r="D778" s="23"/>
      <c r="E778" s="19">
        <v>0</v>
      </c>
      <c r="F778" s="21">
        <v>-1</v>
      </c>
    </row>
    <row r="779" spans="1:6" ht="15" thickBot="1">
      <c r="A779" s="23"/>
      <c r="B779" s="23"/>
      <c r="C779" s="23"/>
      <c r="D779" s="23"/>
      <c r="E779" s="19">
        <v>0</v>
      </c>
      <c r="F779" s="21">
        <v>-1</v>
      </c>
    </row>
    <row r="780" spans="1:6" ht="15" thickBot="1">
      <c r="A780" s="23"/>
      <c r="B780" s="23"/>
      <c r="C780" s="23"/>
      <c r="D780" s="23"/>
      <c r="E780" s="19">
        <v>0</v>
      </c>
      <c r="F780" s="21">
        <v>-1</v>
      </c>
    </row>
    <row r="781" spans="1:6" ht="15" thickBot="1">
      <c r="A781" s="23"/>
      <c r="B781" s="23"/>
      <c r="C781" s="23"/>
      <c r="D781" s="23"/>
      <c r="E781" s="19">
        <v>0</v>
      </c>
      <c r="F781" s="21">
        <v>-1</v>
      </c>
    </row>
    <row r="782" spans="1:6" ht="13.5" thickBot="1">
      <c r="A782" s="23"/>
      <c r="B782" s="23"/>
      <c r="C782" s="23"/>
      <c r="D782" s="23"/>
      <c r="E782" s="24"/>
      <c r="F782" s="23"/>
    </row>
    <row r="783" spans="1:6" ht="13.5" thickBot="1">
      <c r="A783" s="23"/>
      <c r="B783" s="23"/>
      <c r="C783" s="23"/>
      <c r="D783" s="23"/>
      <c r="E783" s="24"/>
      <c r="F783" s="23"/>
    </row>
    <row r="784" spans="1:6" ht="13.5" thickBot="1">
      <c r="A784" s="23"/>
      <c r="B784" s="23"/>
      <c r="C784" s="23"/>
      <c r="D784" s="23"/>
      <c r="E784" s="23"/>
      <c r="F784" s="23"/>
    </row>
    <row r="785" spans="1:6" ht="13.5" thickBot="1">
      <c r="A785" s="25"/>
      <c r="B785" s="16" t="s">
        <v>603</v>
      </c>
      <c r="C785" s="23"/>
      <c r="D785" s="23"/>
      <c r="E785" s="23"/>
      <c r="F785" s="23"/>
    </row>
    <row r="786" spans="1:6" ht="39" thickBot="1">
      <c r="A786" s="26"/>
      <c r="B786" s="16" t="s">
        <v>604</v>
      </c>
      <c r="C786" s="23"/>
      <c r="D786" s="23"/>
      <c r="E786" s="23"/>
      <c r="F786" s="23"/>
    </row>
    <row r="787" spans="1:6" ht="51.75" thickBot="1">
      <c r="A787" s="27"/>
      <c r="B787" s="16" t="s">
        <v>605</v>
      </c>
      <c r="C787" s="23"/>
      <c r="D787" s="23"/>
      <c r="E787" s="23"/>
      <c r="F787" s="23"/>
    </row>
  </sheetData>
  <sortState ref="A2:F607">
    <sortCondition ref="A2"/>
  </sortState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Options</vt:lpstr>
      <vt:lpstr>wms_day</vt:lpstr>
      <vt:lpstr>Staffing Sheet</vt:lpstr>
      <vt:lpstr>Salary</vt:lpstr>
      <vt:lpstr>Leave</vt:lpstr>
      <vt:lpstr>carton_adjustments</vt:lpstr>
    </vt:vector>
  </TitlesOfParts>
  <Company>Woolworths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njsrm</dc:creator>
  <cp:lastModifiedBy>njsrm</cp:lastModifiedBy>
  <dcterms:created xsi:type="dcterms:W3CDTF">2015-05-07T00:46:10Z</dcterms:created>
  <dcterms:modified xsi:type="dcterms:W3CDTF">2015-09-24T21:23:39Z</dcterms:modified>
</cp:coreProperties>
</file>